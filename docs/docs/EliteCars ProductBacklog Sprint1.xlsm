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raman\Desktop\docs\"/>
    </mc:Choice>
  </mc:AlternateContent>
  <bookViews>
    <workbookView xWindow="0" yWindow="0" windowWidth="19200" windowHeight="5870" activeTab="1"/>
  </bookViews>
  <sheets>
    <sheet name="README" sheetId="15" r:id="rId1"/>
    <sheet name="BACKLOG" sheetId="1" r:id="rId2"/>
    <sheet name="Sheet1" sheetId="33" r:id="rId3"/>
    <sheet name="CARDS" sheetId="32" r:id="rId4"/>
    <sheet name="TEMPLATE" sheetId="2" r:id="rId5"/>
    <sheet name="Sp2" sheetId="34" r:id="rId6"/>
  </sheets>
  <definedNames>
    <definedName name="_xlnm._FilterDatabase" localSheetId="1" hidden="1">BACKLOG!$A$1:$F$22</definedName>
    <definedName name="AverageSpeedLastEight">OFFSET(#REF!,1,0,#REF!,1)</definedName>
    <definedName name="AverageSpeedRealized">OFFSET(#REF!,1,0,#REF!,1)</definedName>
    <definedName name="AverageSpeedWorstThree">OFFSET(#REF!,1,0,#REF!,1)</definedName>
    <definedName name="ColBottomCurrentScope">OFFSET(#REF!,1,0,#REF!,1)</definedName>
    <definedName name="ColTopRemainingWork">OFFSET(#REF!,1,0,#REF!,1)</definedName>
    <definedName name="DoneDays" localSheetId="5">'Sp2'!$D$11</definedName>
    <definedName name="DoneDays">#REF!</definedName>
    <definedName name="ImplementationDays" localSheetId="5">'Sp2'!$B$9</definedName>
    <definedName name="ImplementationDays">#REF!</definedName>
    <definedName name="LastEight">IF(#REF!&gt;8,OFFSET(#REF!,#REF!-7,0,8,1),OFFSET(#REF!,1,0,#REF!-1,1))</definedName>
    <definedName name="LastPlanned">IF(OFFSET(#REF!,1,0,1,1)="",1,OFFSET(#REF!,#REF!,0,1,1))</definedName>
    <definedName name="LastRealized">IF(OFFSET(#REF!,1,0,1,1)="",1,OFFSET(#REF!,#REF!,0,1,1))</definedName>
    <definedName name="PBCurrentBottom">OFFSET(#REF!,1,0,#REF!,1)</definedName>
    <definedName name="PBTrend">OFFSET(#REF!,1,0,#REF!,1)</definedName>
    <definedName name="PlannedSpeed">OFFSET(#REF!,1,0,#REF!,1)</definedName>
    <definedName name="_xlnm.Print_Area" localSheetId="1">BACKLOG!$A:$F</definedName>
    <definedName name="ProductBacklog">#REF!</definedName>
    <definedName name="RealizedSpeed">OFFSET(#REF!,1,0,#REF!,1)</definedName>
    <definedName name="RealValues" localSheetId="5">OFFSET('Sp2'!$F$10,0,0,1,'Sp2'!DoneDays)</definedName>
    <definedName name="Sprint">#REF!</definedName>
    <definedName name="SprintCount">#REF!</definedName>
    <definedName name="SprintsInTrend">#REF!</definedName>
    <definedName name="SprintTasks" localSheetId="5">'Sp2'!$A$14:$AD$64</definedName>
    <definedName name="SprintTasks">#REF!</definedName>
    <definedName name="Status">#REF!</definedName>
    <definedName name="StoryName">#REF!</definedName>
    <definedName name="TaskRows" localSheetId="5">'Sp2'!$B$11</definedName>
    <definedName name="TaskRows">#REF!</definedName>
    <definedName name="TaskStatus" localSheetId="5">'Sp2'!$D$14:$D$59</definedName>
    <definedName name="TaskStatus">#REF!</definedName>
    <definedName name="TaskStoryID" localSheetId="5">'Sp2'!$B$14:$B$54</definedName>
    <definedName name="TaskStoryID">#REF!</definedName>
    <definedName name="TotalEffort" localSheetId="5">'Sp2'!$E$10</definedName>
    <definedName name="TotalEffort">#REF!</definedName>
    <definedName name="TrendDays" localSheetId="5">'Sp2'!$D$13</definedName>
    <definedName name="TrendDays">#REF!</definedName>
    <definedName name="TrendOffset">#REF!</definedName>
    <definedName name="TrendSprintCount">#REF!</definedName>
  </definedNames>
  <calcPr calcId="171026"/>
</workbook>
</file>

<file path=xl/calcChain.xml><?xml version="1.0" encoding="utf-8"?>
<calcChain xmlns="http://schemas.openxmlformats.org/spreadsheetml/2006/main">
  <c r="B11" i="34" l="1"/>
  <c r="E10" i="34"/>
  <c r="H11" i="34" s="1"/>
  <c r="G14" i="34"/>
  <c r="H14" i="34"/>
  <c r="I14" i="34"/>
  <c r="G46" i="34"/>
  <c r="D26" i="34"/>
  <c r="F26" i="34"/>
  <c r="D27" i="34"/>
  <c r="F27" i="34"/>
  <c r="D28" i="34"/>
  <c r="F28" i="34"/>
  <c r="D29" i="34"/>
  <c r="F29" i="34"/>
  <c r="D30" i="34"/>
  <c r="F30" i="34"/>
  <c r="D31" i="34"/>
  <c r="F31" i="34"/>
  <c r="D32" i="34"/>
  <c r="F32" i="34"/>
  <c r="D33" i="34"/>
  <c r="F33" i="34"/>
  <c r="D34" i="34"/>
  <c r="F34" i="34"/>
  <c r="D35" i="34"/>
  <c r="F35" i="34"/>
  <c r="D36" i="34"/>
  <c r="F36" i="34"/>
  <c r="D37" i="34"/>
  <c r="F37" i="34"/>
  <c r="D38" i="34"/>
  <c r="F38" i="34"/>
  <c r="D39" i="34"/>
  <c r="F39" i="34"/>
  <c r="D40" i="34"/>
  <c r="F40" i="34"/>
  <c r="D41" i="34"/>
  <c r="F41" i="34"/>
  <c r="D42" i="34"/>
  <c r="F42" i="34"/>
  <c r="D43" i="34"/>
  <c r="F43" i="34"/>
  <c r="D44" i="34"/>
  <c r="F44" i="34"/>
  <c r="D45" i="34"/>
  <c r="F45" i="34"/>
  <c r="D46" i="34"/>
  <c r="F46" i="34"/>
  <c r="D65" i="34"/>
  <c r="G45" i="34"/>
  <c r="H46" i="34"/>
  <c r="O10" i="34"/>
  <c r="P10" i="34"/>
  <c r="J10" i="34"/>
  <c r="M10" i="34"/>
  <c r="R10" i="34"/>
  <c r="Y10" i="34"/>
  <c r="L10" i="34"/>
  <c r="Z10" i="34"/>
  <c r="X10" i="34"/>
  <c r="K10" i="34"/>
  <c r="Q10" i="34"/>
  <c r="W10" i="34"/>
  <c r="AA10" i="34"/>
  <c r="V10" i="34"/>
  <c r="T10" i="34"/>
  <c r="H10" i="34"/>
  <c r="AB10" i="34"/>
  <c r="N10" i="34"/>
  <c r="U10" i="34"/>
  <c r="I10" i="34"/>
  <c r="G10" i="34"/>
  <c r="F10" i="34"/>
  <c r="S10" i="34"/>
  <c r="H45" i="34"/>
  <c r="I45" i="34"/>
  <c r="I46" i="34"/>
  <c r="J14" i="34"/>
  <c r="J45" i="34"/>
  <c r="J46" i="34"/>
  <c r="K14" i="34"/>
  <c r="K46" i="34"/>
  <c r="L14" i="34"/>
  <c r="K11" i="34"/>
  <c r="K45" i="34"/>
  <c r="L46" i="34"/>
  <c r="M14" i="34"/>
  <c r="L11" i="34"/>
  <c r="L45" i="34"/>
  <c r="M11" i="34"/>
  <c r="M45" i="34"/>
  <c r="M46" i="34"/>
  <c r="N14" i="34"/>
  <c r="N46" i="34"/>
  <c r="N45" i="34"/>
  <c r="N11" i="34"/>
  <c r="O14" i="34"/>
  <c r="P14" i="34"/>
  <c r="O45" i="34"/>
  <c r="O46" i="34"/>
  <c r="O11" i="34"/>
  <c r="Q14" i="34"/>
  <c r="P11" i="34"/>
  <c r="P45" i="34"/>
  <c r="P46" i="34"/>
  <c r="Q11" i="34"/>
  <c r="R14" i="34"/>
  <c r="Q45" i="34"/>
  <c r="Q46" i="34"/>
  <c r="S14" i="34"/>
  <c r="R11" i="34"/>
  <c r="R45" i="34"/>
  <c r="R46" i="34"/>
  <c r="S45" i="34"/>
  <c r="T14" i="34"/>
  <c r="S11" i="34"/>
  <c r="S46" i="34"/>
  <c r="T46" i="34"/>
  <c r="U14" i="34"/>
  <c r="T11" i="34"/>
  <c r="T45" i="34"/>
  <c r="U46" i="34"/>
  <c r="U45" i="34"/>
  <c r="U11" i="34"/>
  <c r="V14" i="34"/>
  <c r="V45" i="34"/>
  <c r="W14" i="34"/>
  <c r="V11" i="34"/>
  <c r="V46" i="34"/>
  <c r="X14" i="34"/>
  <c r="W45" i="34"/>
  <c r="W46" i="34"/>
  <c r="W11" i="34"/>
  <c r="Y14" i="34"/>
  <c r="X11" i="34"/>
  <c r="X46" i="34"/>
  <c r="X45" i="34"/>
  <c r="Y46" i="34"/>
  <c r="Y45" i="34"/>
  <c r="Z14" i="34"/>
  <c r="Y11" i="34"/>
  <c r="Z46" i="34"/>
  <c r="Z11" i="34"/>
  <c r="Z45" i="34"/>
  <c r="AA14" i="34"/>
  <c r="AA46" i="34"/>
  <c r="AA11" i="34"/>
  <c r="AA45" i="34"/>
  <c r="AB14" i="34"/>
  <c r="AB46" i="34"/>
  <c r="AB45" i="34"/>
  <c r="AB11" i="34"/>
  <c r="AC14" i="34"/>
  <c r="AC61" i="34"/>
  <c r="AC44" i="34"/>
  <c r="AC37" i="34"/>
  <c r="AC30" i="34"/>
  <c r="AC39" i="34"/>
  <c r="AC25" i="34"/>
  <c r="AC57" i="34"/>
  <c r="AC62" i="34"/>
  <c r="AC38" i="34"/>
  <c r="AC11" i="34"/>
  <c r="AC34" i="34"/>
  <c r="AC36" i="34"/>
  <c r="AC20" i="34"/>
  <c r="AC23" i="34"/>
  <c r="AC45" i="34"/>
  <c r="AC55" i="34"/>
  <c r="AC26" i="34"/>
  <c r="AC54" i="34"/>
  <c r="AC60" i="34"/>
  <c r="AC53" i="34"/>
  <c r="AC50" i="34"/>
  <c r="AC58" i="34"/>
  <c r="AC47" i="34"/>
  <c r="AC18" i="34"/>
  <c r="AC28" i="34"/>
  <c r="AC63" i="34"/>
  <c r="AC64" i="34"/>
  <c r="AC21" i="34"/>
  <c r="AC32" i="34"/>
  <c r="AC17" i="34"/>
  <c r="AC22" i="34"/>
  <c r="AC46" i="34"/>
  <c r="AC51" i="34"/>
  <c r="AC48" i="34"/>
  <c r="AC43" i="34"/>
  <c r="AD14" i="34"/>
  <c r="AC52" i="34"/>
  <c r="AC40" i="34"/>
  <c r="AC33" i="34"/>
  <c r="AC56" i="34"/>
  <c r="AC42" i="34"/>
  <c r="AC35" i="34"/>
  <c r="AC24" i="34"/>
  <c r="AC41" i="34"/>
  <c r="AC27" i="34"/>
  <c r="AC29" i="34"/>
  <c r="AC31" i="34"/>
  <c r="AD36" i="34"/>
  <c r="AD31" i="34"/>
  <c r="AD61" i="34"/>
  <c r="AD43" i="34"/>
  <c r="AD46" i="34"/>
  <c r="AD21" i="34"/>
  <c r="AD20" i="34"/>
  <c r="AD33" i="34"/>
  <c r="AD18" i="34"/>
  <c r="AD39" i="34"/>
  <c r="AD64" i="34"/>
  <c r="AD44" i="34"/>
  <c r="AD45" i="34"/>
  <c r="AD32" i="34"/>
  <c r="AD11" i="34"/>
  <c r="AD52" i="34"/>
  <c r="AD29" i="34"/>
  <c r="AD54" i="34"/>
  <c r="AD55" i="34"/>
  <c r="AD42" i="34"/>
  <c r="AD56" i="34"/>
  <c r="AD37" i="34"/>
  <c r="AD58" i="34"/>
  <c r="AD38" i="34"/>
  <c r="AD63" i="34"/>
  <c r="AD51" i="34"/>
  <c r="AD26" i="34"/>
  <c r="AD48" i="34"/>
  <c r="AD53" i="34"/>
  <c r="AD35" i="34"/>
  <c r="AD40" i="34"/>
  <c r="AD17" i="34"/>
  <c r="AD22" i="34"/>
  <c r="AD47" i="34"/>
  <c r="AD62" i="34"/>
  <c r="AD50" i="34"/>
  <c r="AD34" i="34"/>
  <c r="AD25" i="34"/>
  <c r="AD60" i="34"/>
  <c r="AD28" i="34"/>
  <c r="AD30" i="34"/>
  <c r="AD41" i="34"/>
  <c r="AD23" i="34"/>
  <c r="AD27" i="34"/>
  <c r="AD24" i="34"/>
  <c r="AD57" i="34"/>
  <c r="AC10" i="34"/>
  <c r="AD10" i="34"/>
  <c r="I11" i="34" l="1"/>
  <c r="G11" i="34"/>
  <c r="J11" i="34"/>
  <c r="F11" i="34"/>
  <c r="D11" i="34"/>
  <c r="D13" i="34" s="1"/>
  <c r="F13" i="34" l="1"/>
  <c r="V12" i="34" s="1"/>
  <c r="I12" i="34"/>
  <c r="AC12" i="34" l="1"/>
  <c r="T12" i="34"/>
  <c r="X12" i="34"/>
  <c r="N12" i="34"/>
  <c r="Y12" i="34"/>
  <c r="Z12" i="34"/>
  <c r="K12" i="34"/>
  <c r="P12" i="34"/>
  <c r="AA12" i="34"/>
  <c r="F12" i="34"/>
  <c r="L12" i="34"/>
  <c r="AD12" i="34"/>
  <c r="S12" i="34"/>
  <c r="O12" i="34"/>
  <c r="H12" i="34"/>
  <c r="W12" i="34"/>
  <c r="U12" i="34"/>
  <c r="R12" i="34"/>
  <c r="Q12" i="34"/>
  <c r="J12" i="34"/>
  <c r="M12" i="34"/>
  <c r="AB12" i="34"/>
  <c r="G12" i="34"/>
</calcChain>
</file>

<file path=xl/comments1.xml><?xml version="1.0" encoding="utf-8"?>
<comments xmlns="http://schemas.openxmlformats.org/spreadsheetml/2006/main">
  <authors>
    <author>Henrik</author>
  </authors>
  <commentList>
    <comment ref="A1" authorId="0" shapeId="0">
      <text>
        <r>
          <rPr>
            <b/>
            <sz val="8"/>
            <color indexed="81"/>
            <rFont val="Tahoma"/>
            <family val="2"/>
          </rPr>
          <t>Henrik:</t>
        </r>
        <r>
          <rPr>
            <sz val="8"/>
            <color indexed="81"/>
            <rFont val="Tahoma"/>
            <family val="2"/>
          </rPr>
          <t xml:space="preserve">
Importance. High = more importance. Used only for sorting in priority order. Only product owner is allowed to set this.</t>
        </r>
      </text>
    </comment>
    <comment ref="F1" authorId="0" shapeId="0">
      <text>
        <r>
          <rPr>
            <b/>
            <sz val="8"/>
            <color indexed="81"/>
            <rFont val="Tahoma"/>
            <family val="2"/>
          </rPr>
          <t>Henrik:</t>
        </r>
        <r>
          <rPr>
            <sz val="8"/>
            <color indexed="81"/>
            <rFont val="Tahoma"/>
            <family val="2"/>
          </rPr>
          <t xml:space="preserve">
Relative size of this story. Only the team is allowed to set this.</t>
        </r>
      </text>
    </comment>
  </commentList>
</comments>
</file>

<file path=xl/comments2.xml><?xml version="1.0" encoding="utf-8"?>
<comments xmlns="http://schemas.openxmlformats.org/spreadsheetml/2006/main">
  <authors>
    <author>Petri Heiramo</author>
  </authors>
  <commentList>
    <comment ref="A9" authorId="0" shapeId="0">
      <text>
        <r>
          <rPr>
            <sz val="8"/>
            <color indexed="81"/>
            <rFont val="Tahoma"/>
            <family val="2"/>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<sst xmlns="http://schemas.openxmlformats.org/spreadsheetml/2006/main" count="326" uniqueCount="282">
  <si>
    <t>Imp</t>
  </si>
  <si>
    <t>Name</t>
  </si>
  <si>
    <t>User Story</t>
  </si>
  <si>
    <t>Notes</t>
  </si>
  <si>
    <t>How to test</t>
  </si>
  <si>
    <t>Estimate</t>
  </si>
  <si>
    <t>View All Cars</t>
  </si>
  <si>
    <t>As an API User I want to be able to  view all the cars so that I can decide which car to book</t>
  </si>
  <si>
    <t>View One Car</t>
  </si>
  <si>
    <t>As an API User I want to be able to  view a single car so that I can decide which car to book</t>
  </si>
  <si>
    <t>Update details of Car</t>
  </si>
  <si>
    <t>As an API user I want to be able to change details related to the car so I can see updated details</t>
  </si>
  <si>
    <t>Change price per day</t>
  </si>
  <si>
    <t>Search Car by make</t>
  </si>
  <si>
    <t xml:space="preserve">As a customer I want to be able search for the cars that are available for booking so that I can make a booking </t>
  </si>
  <si>
    <t xml:space="preserve">API will search the car by make </t>
  </si>
  <si>
    <t>Admin Login</t>
  </si>
  <si>
    <t>As an Admin I want to login to my account so I can access further Admin options.</t>
  </si>
  <si>
    <t xml:space="preserve">Admin will have hardcoded username and password. </t>
  </si>
  <si>
    <t>Customer Login</t>
  </si>
  <si>
    <t>As a customer I want to login to my account so that I can book the car</t>
  </si>
  <si>
    <t xml:space="preserve">Customer will have username and password provided by own. </t>
  </si>
  <si>
    <t>Customer Create booking</t>
  </si>
  <si>
    <t>As a customer I want to create booking so that I have car reserved for a specific date.</t>
  </si>
  <si>
    <t xml:space="preserve">Customer will create booking based on available options . </t>
  </si>
  <si>
    <t>Customer View booking</t>
  </si>
  <si>
    <t>As a customer I want to view my bookings so that I can confirm the date and time I have book the car.</t>
  </si>
  <si>
    <t xml:space="preserve">Customer will View bookings by logging into their account. </t>
  </si>
  <si>
    <t>Admin View bookings</t>
  </si>
  <si>
    <t>As an admin I want to be able to view all the bookings made by customer so that I can analyse the data</t>
  </si>
  <si>
    <t>Admin can view all the bookings made by customer with their details</t>
  </si>
  <si>
    <t>Customer Delete booking</t>
  </si>
  <si>
    <t>As a customer I want to Delete my booking so that I can release the car for someone else to book .</t>
  </si>
  <si>
    <t>Customer can delete booking by logging into their account.</t>
  </si>
  <si>
    <t>Admin view Customer details</t>
  </si>
  <si>
    <t>As an Admin I want to view customer details so that I can track the customers booking the cars .</t>
  </si>
  <si>
    <t>Admin will retrieve list of customers.</t>
  </si>
  <si>
    <t>Edit &amp; Update account details</t>
  </si>
  <si>
    <t>As a customer I want to be able edit and update my details so that all my details are up to date in the system.</t>
  </si>
  <si>
    <t>customer canlogin and update the details</t>
  </si>
  <si>
    <t>Edit cars</t>
  </si>
  <si>
    <t>As an Admin I want to be able to add or delete cars so that I can add new cars or remove old cars from the list.</t>
  </si>
  <si>
    <t xml:space="preserve">Admin will add and delete cars by logging into his account. </t>
  </si>
  <si>
    <t>Customer Payment Online</t>
  </si>
  <si>
    <t>As a customer I want to be able to  pay online  so that i can pay for my bookings in adavance for the car.</t>
  </si>
  <si>
    <t xml:space="preserve">Customer will use pay online form to do so using verified methods. </t>
  </si>
  <si>
    <t>Browser Support</t>
  </si>
  <si>
    <t>As a Customer, I want to  access the Elite Cars website on all browsers, a familiar browser that I have already installed on my computer, so that I don't have to install anything else to use my account.</t>
  </si>
  <si>
    <t>Customer must have Firefox browser installed with access to the internet.</t>
  </si>
  <si>
    <t>Security Online Payment</t>
  </si>
  <si>
    <t>As a Customer, I want to be Able  to complete payment using secure payment type.</t>
  </si>
  <si>
    <t>Customer’s a/c details are safe, and protected from unauthorised third parties.</t>
  </si>
  <si>
    <t>Payment Process</t>
  </si>
  <si>
    <t>As a customer i want to make Secure online payments processed within 5 minutes or the payment process will time out.</t>
  </si>
  <si>
    <t>Users can process payments within a defined timeframe.</t>
  </si>
  <si>
    <t>Online traffic</t>
  </si>
  <si>
    <t>Ability to support use of website by up to 10 users</t>
  </si>
  <si>
    <t>Making system scalable for 10 users</t>
  </si>
  <si>
    <t>Scalability for future services</t>
  </si>
  <si>
    <t>The website should be able to evolve for changing services</t>
  </si>
  <si>
    <t>Ability to change offered services in the future</t>
  </si>
  <si>
    <t>Delivery date</t>
  </si>
  <si>
    <t>Complete website before the 30th March,2017.</t>
  </si>
  <si>
    <t>Want to make the most of increased bookings</t>
  </si>
  <si>
    <t>Availability</t>
  </si>
  <si>
    <t>The website will be available and bookings can be made 24/7.</t>
  </si>
  <si>
    <t>Website will be constantly available to users</t>
  </si>
  <si>
    <t>Recoverability</t>
  </si>
  <si>
    <t>If the site crashes or is under construction, it will not be down for longer than 1 hour</t>
  </si>
  <si>
    <t>The website can be recovered in case of a crash.</t>
  </si>
  <si>
    <t>Create, Retrieve and Update Account.</t>
  </si>
  <si>
    <t>As a customer, I would like to be able to create an account for myself so that I can create a booking for my pet. I would also like to see my profile and change anything at anytime as I wish.</t>
  </si>
  <si>
    <t>Will require a clean UI with sufficient input boxes for name, DoB, billing address when creating account and and UI page for viewing information which only contains a button for editing details. Update page shall hold current information above input boxes for new information. Confirmation upon updating details.</t>
  </si>
  <si>
    <t>Create a customer account and check for errors in its creation. Update name and details in this account and be able to view the information on a page accessable by the client.</t>
  </si>
  <si>
    <t>Delete Account</t>
  </si>
  <si>
    <t>As a customer, I would like to be able to delete my account for when I no longer need the services of this business so that I can delete it to clear up any redundant accounts I have.</t>
  </si>
  <si>
    <t>Confirmation upon request with user password required to complete.</t>
  </si>
  <si>
    <t>Delete the created account and check to see if it is actually gone from the company database.</t>
  </si>
  <si>
    <t>Create and Retrieve Booking Information</t>
  </si>
  <si>
    <t>As a customer, I want to have the ability to create a booking and also review my booking information so that I can book my pet in for a reservation and see when that reservation is.</t>
  </si>
  <si>
    <t>Will need UI for inputing details of pet and two calender interfaces for arrival and departure along with breed and age of dog. Will require user interface for displaying details neatly for the customer to see.</t>
  </si>
  <si>
    <t>Create a booking reservation under a customer account and be able to access information on this booking information on a page accessable by the customer.</t>
  </si>
  <si>
    <t>Update and Delete Booking Information</t>
  </si>
  <si>
    <t>As a customer, I want to be allowed to change any booking info I have created in case I need to change my booking for outside reasons and also delete my reservation altogether if something happens and I cannot make the reservation time at all.</t>
  </si>
  <si>
    <t>Before payment occurs, give the customer a button beside their reservation iformation which opens up input boxes and calender boxes to adjust dates of reservation and details. After payment occurs, this option disappears.</t>
  </si>
  <si>
    <t>edit the time and date on an already booked reservation and check for errors. Delete the reservation and check that it is gone from the customer account and business database.</t>
  </si>
  <si>
    <t>Create and retrieve booking information for additional services</t>
  </si>
  <si>
    <t>As a customer that is booking, I would like the ability to include any additional services to my original booking reservation so I can send my pet in for additional treatment as I wish. I would like to view my current additional services anytime as well so I know what my pet is bookied in for.</t>
  </si>
  <si>
    <t>Include three check boxes withing the 'booking creation'  UI which offers options to th three services that Pas for Applause offers. These choice selections appear withing the the 'view booking info' page.</t>
  </si>
  <si>
    <t>Create a booking within a reservation for grooming, nail-clipping and veterinary services and check for confirmationa and that it appears on the internal booking database for that reservation. Be able to access information on a page that can be accessed by the customer.</t>
  </si>
  <si>
    <t>Update and delete additional services booking information</t>
  </si>
  <si>
    <t>As a customer, I would like to change my preferences on any additional services I have booked or even even delete any services I have included in case I change my mind before the reservation.</t>
  </si>
  <si>
    <t>Before payment tansaction occurs, give the user the option when changing initial booking information to check/uncheck additonal services boxes.</t>
  </si>
  <si>
    <t>Edit the detils on additional services, such as removing the grooming services and check to see for confirmation and an update on the internal booking database.</t>
  </si>
  <si>
    <t>Payment</t>
  </si>
  <si>
    <t>As a paying customer, I would like a payment system set up so I can pay for my booking in advance directly to the company.</t>
  </si>
  <si>
    <t>Offer a secure transaction where the customer inputs their details into certain input boxes. The transaction occurs and  the customer is offered the option for us to save the details for future use. If checked yes, the details are stored on a secure internal database. If not, the details are deleted.</t>
  </si>
  <si>
    <t>Use payment system to pay for virtual booking and check to see if transaction to company bank account is successful. Check for confirmation if transaction is successful and a error statement if transaction failed. Check for update in internal database for both outcomes.</t>
  </si>
  <si>
    <t>Search for additional services</t>
  </si>
  <si>
    <t>As a customer, I woud like the ability to see available additional services that are being offered by Paws for Applause so that I can be aware of what is offered so I can possibly order them</t>
  </si>
  <si>
    <t>On the home page, include a link to a group of pages dedicated to each service provided.</t>
  </si>
  <si>
    <t>Be able to view all three available addititional services and details on each from a page accessable by the customer.</t>
  </si>
  <si>
    <t>Consent to uploading photos online</t>
  </si>
  <si>
    <t>As a customer, I would like to decide whether or not I would like images of my pet to be uploaded the the internet for others to see.</t>
  </si>
  <si>
    <t>Checkbox needed below additional services checkboxes on the reservaion creation page with text stating consent option beside it.</t>
  </si>
  <si>
    <t>Check the box for consenting to uploading photos and check if the data is updated for the Kennel Operatives. Uncheck the box before another reservaion and check again.</t>
  </si>
  <si>
    <t>Access an account</t>
  </si>
  <si>
    <t xml:space="preserve"> As a User I would like to access my account so that I can check the bookings related to grooming and veterinary visits</t>
  </si>
  <si>
    <t>The account should have a unique ID and password.</t>
  </si>
  <si>
    <t>Log in to account.Check that I can access all functions on website</t>
  </si>
  <si>
    <t>Edit account details</t>
  </si>
  <si>
    <t>As a User I would like to be able to edit my account details so that I can change my password, personal details like contact no or address for future references .</t>
  </si>
  <si>
    <t>The account will be created and deleted by super admin.The user can only access and edit their account.</t>
  </si>
  <si>
    <t>Log in to account.Check that I can edit my account details including password.Log out and log back in using new password with the original ID.</t>
  </si>
  <si>
    <t>View Customer Bookings</t>
  </si>
  <si>
    <t>As User I would like to be able to view all bookings made by customers so that  I can further book the visting veterans for pets.</t>
  </si>
  <si>
    <t>The User will have the ability to view bookings that the customer has made, including time and date of arrival, duration of stay and full name.</t>
  </si>
  <si>
    <t>Log in to user account. Select view customer bookings.Ensure that you can view all booking made by customers including time and date of arrival,duration of stay and full name.</t>
  </si>
  <si>
    <t xml:space="preserve">Receive booking Cancellation Notification </t>
  </si>
  <si>
    <t>As a user I would like to receive notification in case any booking is cancelled so that i can further notify the veterans on the cancelled booking's date and time.</t>
  </si>
  <si>
    <t>the user will receive notification by management if any customer booking is cancelled so that they can further notify the veteran if he was booked for that particular booking.</t>
  </si>
  <si>
    <t>Log in to user account . Click booking cancellations section.view all the notifications sent by superadmin related to booking cancellations.</t>
  </si>
  <si>
    <t>As a user I would like to be able to access my account so that I can  check the bookings for the week and plan my week accordingly.</t>
  </si>
  <si>
    <t>The  user can access the account created by management using  unique ID and password.</t>
  </si>
  <si>
    <t>As a user I would like to be able to edit my own details including my password to something more memorable than the  password issued by the management.</t>
  </si>
  <si>
    <t>Upload pictures</t>
  </si>
  <si>
    <t xml:space="preserve">As a user I would like to upload the pet grooming pictures on the website of paws for applause with the consent of customer so that people visiting our website can see our work and pictures of happy customers with their pets. </t>
  </si>
  <si>
    <t>to upload the pet grooming pictures on the website, the paws for applause takes the consent of the customer.</t>
  </si>
  <si>
    <t>Log in to user accoount.check that I can upload picture from my account</t>
  </si>
  <si>
    <t>As a customer, I want to be able to access the Paws for Applause website on Firefox, a familiar browser that I have already installed on my computer, so that I don't have to install anything else to use my account.</t>
  </si>
  <si>
    <t>Must have Firefox browser installed with access to the internet.</t>
  </si>
  <si>
    <t>Turn on Firefox browser. Type in the web address for the Paws for Applause website. Check if it loads.</t>
  </si>
  <si>
    <t>Secure Online Payment</t>
  </si>
  <si>
    <t>As a customer, I want to make sure that other people can't access my payment card details when I pay for a booking, so that the privacy of my personal account is protected.</t>
  </si>
  <si>
    <t>The customer must have a bank account and be able to access their account details so that they can make a payment. Detail entries must be in arranged in a clear form-like format. Once details are entered they should be accessible to that customer only.</t>
  </si>
  <si>
    <t>Log into customer account. Make a reservation. Make a payment. Log into another customer account. Look at Payment Details. Check that the first customer's payment details don't appear.</t>
  </si>
  <si>
    <t>As a customer, I want the payment process to time out if there hitch so that my details are safe.</t>
  </si>
  <si>
    <t>There has to be a system timer to keep track of user inactivity. If the timer runs out, a page must be displayed to the user, stating that "Due to inactivity, the payment process has timed out." and then it should revert to the reservations page so that the user can proceed to make another reservation.</t>
  </si>
  <si>
    <t>Log into customer account. Make a reservation. Receive payment prompt. Wait for 5 minutes. The page should refresh and cancel reservation.</t>
  </si>
  <si>
    <t>Online Traffic</t>
  </si>
  <si>
    <t>As the owner of Paws for Applause, I want to the website to be able to support 50 users at any one time so that my customers and employees are able to use the system.</t>
  </si>
  <si>
    <t>The server has to be able to manage 50 users at any one time.</t>
  </si>
  <si>
    <t>Turn on Firefox browser. Type in the web address for the Paws for Applause website on 50 different machines or devices.</t>
  </si>
  <si>
    <t>Scalability for Future Services</t>
  </si>
  <si>
    <t>As the owner of Paws for Applause, I want to be able to employ people to maintain my website so that it can adapt to the changing needs of my company and my customers.</t>
  </si>
  <si>
    <t>Employees that will maintain the website must have knowledge of HTML and CSS to be able to change the website layout.</t>
  </si>
  <si>
    <t>Navigate to the folder where the codefor the website is stored. Open the code. Check that there are comments throughout the code to explain what it does so that programmers outside the team can understand and change it.</t>
  </si>
  <si>
    <t>Delivery Date</t>
  </si>
  <si>
    <t>As the owner of Paws for Applause, I want to be able to launch my website in the Summer, so that it can be ready for one of my peak times.</t>
  </si>
  <si>
    <t>The website should be complete (meet it's definition of done) and shippable by the 31st of March 2017.</t>
  </si>
  <si>
    <t>Check that the final Sprint is complete before the 31st of March 2017.</t>
  </si>
  <si>
    <t>Usability for Management</t>
  </si>
  <si>
    <t>As a manager, I want to have a short, three-hour training session, so that I am able to use the system in my day-to-day work.</t>
  </si>
  <si>
    <t>The trainer must be familiar with the system and have the ability to express the steps that must be taken to operate it in a clear and sequential manner. The trainer must also be able to answer questions in regards to the system.</t>
  </si>
  <si>
    <t>Invite Ciara. Introduce and walk her through the system. Then, provide a set of sample exercises based on the walk-through for Ciara to complete.</t>
  </si>
  <si>
    <t>As a customer with an irregular working schedule, I want to be able to access my Paws for Applause account at any time of the day so that I can make changes to my bookings.</t>
  </si>
  <si>
    <t>The server must be running 24/7 to facilitate access to the website. As a result, the server must have continuous access to a power supply and the internet.</t>
  </si>
  <si>
    <t>Log into the Firefox browser. Go to the Paws for Applause website. Repeat this task at 12pm on Tuesday, 9am on Wednesday and 5pm on Thursday (different times).</t>
  </si>
  <si>
    <t>As an administrator, in the event that the website crashes, I want to make sure that it will be up again within the hour, so that I can continue my work on checking customer schedules.</t>
  </si>
  <si>
    <r>
      <t>There must be a separate hard drive (file storage device) cotaining a back-up of the website</t>
    </r>
    <r>
      <rPr>
        <sz val="11"/>
        <rFont val="Calibri"/>
        <family val="2"/>
      </rPr>
      <t>. Also, automatic back-ups must be done regularly (at the end of each working week) to prevent  potential data loss.</t>
    </r>
  </si>
  <si>
    <t>Remove the website from the server. Re-upload the website to the server within one hour. Open Firefox and launch the website.</t>
  </si>
  <si>
    <t>Data Integrity</t>
  </si>
  <si>
    <t>As a service provider, I am not interested in being able to upload photos or booking my own services because these functions are irrelevant to me.</t>
  </si>
  <si>
    <t>The functions that are unique to kennel operatives and service providers must only be available to them. Kennel operatives and service providers must not have access to customer or administrator functions, as listed in the user requirements document.</t>
  </si>
  <si>
    <t>Log in as a Kennel Operative, check that the option to view customer bookings is unavailable. Log in as a Service Provider, check that the option for uploading a photo to the website is not there.</t>
  </si>
  <si>
    <t>Super Admin</t>
  </si>
  <si>
    <t>As super admin I would like one super admin account that has all area access and so I can oversee the running of the website</t>
  </si>
  <si>
    <t>Add additional administrator</t>
  </si>
  <si>
    <t>As super admin I would like to be able to add adminstrators so that they can complete their online adminstrative duties independent of the super admin account. Ensures anynew admin staff can be added later.</t>
  </si>
  <si>
    <t>Each additional administrator shall have their own unique user ID and password which will be generated by the super admin</t>
  </si>
  <si>
    <t>Check login using unique id and password</t>
  </si>
  <si>
    <t>Retrieve administrators details from the system</t>
  </si>
  <si>
    <t>The super administrator will have the ability to retrieve a list of all administrator’s details that are stored in the system. Furthermore,administrators shall be able to display there own personal details only.</t>
  </si>
  <si>
    <t>Will need a friendly user interface to display this info in read only format to ensure no accidental editing occurs.</t>
  </si>
  <si>
    <t>Log in to Super admin accoount. Check that I can see a list of all administrators on the system. Log in to  admin accoount. Check that I can see all my details displayed on the system.</t>
  </si>
  <si>
    <t>As administartor I would like to able to view all customer bookings to ensure there are no overlaps or descripiencies in reservations.</t>
  </si>
  <si>
    <t>The administrator will have the ability to view bookings that the customer has made, including time and date of arrival, duration of stay and full name.</t>
  </si>
  <si>
    <t>Log in to admin account. Select view customer bookings.Ensure that you can view all booking made by customers including time and date of arrival,duration of stay and full name.</t>
  </si>
  <si>
    <t xml:space="preserve">Issue Cancellation Notification </t>
  </si>
  <si>
    <t xml:space="preserve">As an administrator I would like to be able to notify the customer if an emergency cancellation occurred unexpectedly via their online booking as an alternative to sending a written e-mail or having to make a phone call. </t>
  </si>
  <si>
    <t>The admin should be able to select the particular booking that needs to be cancelled .Once the booking is selected there should be an option to send cancellation notification which will send to the customer stating the reservation no and the dates for which said reservation has to be cancelled.</t>
  </si>
  <si>
    <t>Log in to admin account. Select view customer bookings. Sect booking which needs to be cancelled. Click cancel said reservation for entire duration or selected day(s) and confirm you wish to send cancellation notification. Check status of notification i.e. sent,sending,delivered.</t>
  </si>
  <si>
    <t>View Current Reservations</t>
  </si>
  <si>
    <t>As an administrators I would like to use the system to view current customers that have booked in, their services that they book, their length of stay, name and if their services have been provided.</t>
  </si>
  <si>
    <t>Will need a user friendly display of all details regarding customers current reservations. Should have a list of all customers checked in.Should then be able to navigate through thte list and select particular customer reservation .Once a particular customer reservation is selected a new page should display all the info regarding that particular reservation.</t>
  </si>
  <si>
    <t>Log in to admin account. Select view current customers reservations. Select customer reservation you wish to view. Check that current reservation details for selected customer display.</t>
  </si>
  <si>
    <t>Edit administrators details</t>
  </si>
  <si>
    <t>As an  administrator I would like to be able to edit my own details including my password to something more memorable than the original password issued by superadmin.</t>
  </si>
  <si>
    <t>Admin details should be stored in separte columns/sections so that the admin can change specific details without having to re-enter all details.</t>
  </si>
  <si>
    <t>Delete administrators details from the system</t>
  </si>
  <si>
    <t>As the super administrator I would like to  have the ability to delete administrators from the system to keep current list of admin up to date.</t>
  </si>
  <si>
    <t>Will need a prompt confirming the removal of the selcted administrator from the system to ensure no accidental deleting occurs. There may be a need for an option to delete multiple administrators at once which again would be followed with a prompt to confirm if superadmin wishes to proceed with deletion.</t>
  </si>
  <si>
    <t>Log in to Super admin accoount. See list of all aministrators. Select which admin account you wish to delete. Confirm yes at prompt. Retrieve list of administrators and see if admin that you deleted has been removed.</t>
  </si>
  <si>
    <t>View Financials</t>
  </si>
  <si>
    <t>As an Administrator, I would like to be able to view payments made to and from the company</t>
  </si>
  <si>
    <t>Will need to see the transactions made by staff and by customers separately. From here the admin should be able to continue on to edit and delete financials as named below</t>
  </si>
  <si>
    <t>Log in to account. Go to 'view financial'. Finanacial outline will be displayed</t>
  </si>
  <si>
    <t>Edit Bills</t>
  </si>
  <si>
    <t>As an Administrator, I would like to be able to edit any bills</t>
  </si>
  <si>
    <t>Log in to account. Check that I can edit bills</t>
  </si>
  <si>
    <t>Edit Orders</t>
  </si>
  <si>
    <t>As an Administrator, I would like to edit orders that the customer makes.</t>
  </si>
  <si>
    <t>Log in to account. Check that I can edit orders</t>
  </si>
  <si>
    <t>Edit Totals</t>
  </si>
  <si>
    <t>As an Administrator, I would like be able to change the total cost of a service using the system</t>
  </si>
  <si>
    <t>Log in to account. Check that I can edit totals</t>
  </si>
  <si>
    <t>Edit Charges</t>
  </si>
  <si>
    <t>As an Administrator, I would like to update the charges for a customer, including adding more charges, editing charges and deleting charges.</t>
  </si>
  <si>
    <t>Log in to account. Check that I can edit charges</t>
  </si>
  <si>
    <t>Receive Cancellation Notification</t>
  </si>
  <si>
    <t xml:space="preserve">As an Administrator, I would like to be aware of any cancellation made by a customer </t>
  </si>
  <si>
    <t>This will depend on a booking having been made and cancelled for testing purposes</t>
  </si>
  <si>
    <t>Cancel a customer booking. Log in to admin a/c. Check notification. See cancellation notice for aforementioned customer.</t>
  </si>
  <si>
    <t>Add employees to the system</t>
  </si>
  <si>
    <t>As an Administrator, I would like to add SPs and KOs to the system including assigning a username (unique ID) and password for login purposes.</t>
  </si>
  <si>
    <t>Log in to admin a/c. Go to 'add employee'. Assign an employee a username and password. Have employee check that they can login with uniqueID and password.</t>
  </si>
  <si>
    <t>Retrieve employee details from the system</t>
  </si>
  <si>
    <t>As an Administrator, I would like to retrieve a list of all  SPs and KOs details that are stored in the system.</t>
  </si>
  <si>
    <t>View employee details within a/c.</t>
  </si>
  <si>
    <t>Edit employee details</t>
  </si>
  <si>
    <t>As an Administrator, I would like to edit details of the accounts of the  SPs and Kos</t>
  </si>
  <si>
    <t xml:space="preserve">Log in to admin accoount. See list of all employees. Select which employee you wish to edit. Log out. Have employee login and see if the edits have been applied. </t>
  </si>
  <si>
    <t>Delete employee details from the system</t>
  </si>
  <si>
    <t xml:space="preserve">As an Administrator, I would like to be able to delete  SPs and KOs from the system. </t>
  </si>
  <si>
    <t>Log in to admin accoount. See list of all employees. Select which employee you wish to delete. Confirm yes at prompt.  Return to employee list and see if employee has been removed</t>
  </si>
  <si>
    <t>Backlog Item #1</t>
  </si>
  <si>
    <t>Importance</t>
  </si>
  <si>
    <t>As a Store Manager, I want to be able to add a product type so that the system can be updated if new products are to be stocked.</t>
  </si>
  <si>
    <t>Don't need to allow for adding multiple product types in one GUI</t>
  </si>
  <si>
    <t>How to demo</t>
  </si>
  <si>
    <t>Log in, open add product page, add a new product by entering relevant details, go to product list page and check that the product just added appears in the list.</t>
  </si>
  <si>
    <t>Backlog Item #3</t>
  </si>
  <si>
    <t>As a Store Manager, I want to be able to remove a product type so that the system can be updated if the product is no longer stocked.</t>
  </si>
  <si>
    <t>When List of Products is displayed, a delete option (button) should be given for each item in the list. A confirmation should be requested before the item is deleted.</t>
  </si>
  <si>
    <t>Log in, Open "Product List" page. Click the "delete" option for a product. Check that the product no longer appears in the "Product List"</t>
  </si>
  <si>
    <t>Backlog Item #2</t>
  </si>
  <si>
    <t>As a StoreAssistant, I want  to check the stock levels for a particular product so that I answer customer queries.</t>
  </si>
  <si>
    <t>Design similar to Add Product  page.</t>
  </si>
  <si>
    <t>Log in, click on "Check Product Details”. Select a product from the Drop Down List. Check that the correct stock level is displayed.</t>
  </si>
  <si>
    <t>Backlog item #</t>
  </si>
  <si>
    <t>Story name description</t>
  </si>
  <si>
    <t>Notes for this story</t>
  </si>
  <si>
    <t>This explains how to demo</t>
  </si>
  <si>
    <t>Story View</t>
  </si>
  <si>
    <t>Only decrease the value for the story when it is Done</t>
  </si>
  <si>
    <t>It stays at its initial value until the story is Done</t>
  </si>
  <si>
    <t>Sprint implementation days</t>
  </si>
  <si>
    <t>Story pts</t>
  </si>
  <si>
    <t>Remaining on implementation day…</t>
  </si>
  <si>
    <t>Trend calculated based on last</t>
  </si>
  <si>
    <t>Totals</t>
  </si>
  <si>
    <t>Task rows</t>
  </si>
  <si>
    <t>Done days</t>
  </si>
  <si>
    <t>Warning! These are necessary</t>
  </si>
  <si>
    <t>Trend</t>
  </si>
  <si>
    <t>template rows</t>
  </si>
  <si>
    <t>Trend Days</t>
  </si>
  <si>
    <t>Story Name</t>
  </si>
  <si>
    <t>Story ID</t>
  </si>
  <si>
    <t>Story Pts</t>
  </si>
  <si>
    <t>Status</t>
  </si>
  <si>
    <t>Est.</t>
  </si>
  <si>
    <t>Super admin</t>
  </si>
  <si>
    <t>Planned</t>
  </si>
  <si>
    <t>Retrieve admin details from the system</t>
  </si>
  <si>
    <t>Create customer Account</t>
  </si>
  <si>
    <t xml:space="preserve">Retrieve customer a/c details </t>
  </si>
  <si>
    <t>Edit customers details</t>
  </si>
  <si>
    <t>Create homing reservation</t>
  </si>
  <si>
    <t>Retrieve homing reservation</t>
  </si>
  <si>
    <t>Delete Homing Reservation</t>
  </si>
  <si>
    <t>Add a Car</t>
  </si>
  <si>
    <t>Delete a Car</t>
  </si>
  <si>
    <t>As an API user I want to be able to delete a car so that I can remove old cars from the list.</t>
  </si>
  <si>
    <t>Search Car by make &amp; price per day</t>
  </si>
  <si>
    <t>As an API User  I want to be able to add a car so that I can add new cars in the list.</t>
  </si>
  <si>
    <t>Add a new car</t>
  </si>
  <si>
    <t>API will delete car from the list</t>
  </si>
  <si>
    <t>API will search car with price &amp; make</t>
  </si>
  <si>
    <t>As an API user I want to be able to Search car by make &amp; price per day so that I can check the make &amp; price per day of the car I like to book</t>
  </si>
  <si>
    <t>View all cars in the database</t>
  </si>
  <si>
    <t>Only one car by its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</si>
</sst>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Sprint &quot;#&quot; Backlog&quot;"/>
  </numFmts>
  <fonts count="14" x14ac:knownFonts="1">
    <font>
      <sz val="10"/>
      <name val="Arial"/>
    </font>
    <font>
      <b/>
      <sz val="12"/>
      <name val="Arial"/>
      <family val="2"/>
    </font>
    <font>
      <b/>
      <sz val="12"/>
      <color indexed="16"/>
      <name val="Arial"/>
      <family val="2"/>
    </font>
    <font>
      <b/>
      <sz val="12"/>
      <color indexed="18"/>
      <name val="Arial"/>
      <family val="2"/>
    </font>
    <font>
      <sz val="10"/>
      <name val="Arial"/>
      <family val="2"/>
    </font>
    <font>
      <b/>
      <sz val="8"/>
      <color indexed="81"/>
      <name val="Tahoma"/>
      <family val="2"/>
    </font>
    <font>
      <sz val="8"/>
      <color indexed="81"/>
      <name val="Tahoma"/>
      <family val="2"/>
    </font>
    <font>
      <sz val="36"/>
      <name val="Arial"/>
      <family val="2"/>
    </font>
    <font>
      <sz val="11"/>
      <name val="Calibri"/>
      <family val="2"/>
    </font>
    <font>
      <b/>
      <sz val="10"/>
      <name val="Arial"/>
      <family val="2"/>
    </font>
    <font>
      <b/>
      <sz val="10"/>
      <color indexed="10"/>
      <name val="Arial"/>
      <family val="2"/>
    </font>
    <font>
      <sz val="14"/>
      <name val="Arial"/>
      <family val="2"/>
    </font>
    <font>
      <sz val="11"/>
      <color theme="1"/>
      <name val="Calibri"/>
      <family val="2"/>
      <scheme val="minor"/>
    </font>
    <font>
      <sz val="10"/>
      <color theme="1"/>
      <name val="Arial"/>
      <family val="2"/>
    </font>
  </fonts>
  <fills count="7">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2" fillId="0" borderId="0"/>
    <xf numFmtId="0" fontId="4" fillId="0" borderId="0"/>
  </cellStyleXfs>
  <cellXfs count="44">
    <xf numFmtId="0" fontId="0" fillId="0" borderId="0" xfId="0"/>
    <xf numFmtId="0" fontId="0" fillId="0" borderId="0" xfId="0" applyBorder="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applyAlignment="1">
      <alignment vertical="top" wrapText="1"/>
    </xf>
    <xf numFmtId="0" fontId="4" fillId="0" borderId="0" xfId="0" applyFont="1" applyBorder="1" applyAlignment="1">
      <alignment horizontal="left" vertical="top"/>
    </xf>
    <xf numFmtId="0" fontId="7" fillId="0" borderId="9" xfId="0" applyFont="1" applyBorder="1" applyAlignment="1">
      <alignment vertical="top"/>
    </xf>
    <xf numFmtId="0" fontId="7" fillId="0" borderId="9" xfId="0" applyFont="1" applyBorder="1" applyAlignment="1">
      <alignment vertical="top" wrapText="1"/>
    </xf>
    <xf numFmtId="0" fontId="1" fillId="2" borderId="0" xfId="0" applyNumberFormat="1" applyFont="1" applyFill="1" applyBorder="1" applyAlignment="1">
      <alignment horizontal="left" wrapText="1"/>
    </xf>
    <xf numFmtId="0" fontId="4" fillId="0" borderId="0" xfId="0" applyFont="1" applyBorder="1" applyAlignment="1">
      <alignment horizontal="left" vertical="top" wrapText="1"/>
    </xf>
    <xf numFmtId="0" fontId="4" fillId="3" borderId="0" xfId="0" applyFont="1" applyFill="1" applyBorder="1" applyAlignment="1">
      <alignment horizontal="left" vertical="top"/>
    </xf>
    <xf numFmtId="1" fontId="2" fillId="2" borderId="0" xfId="0" applyNumberFormat="1" applyFont="1" applyFill="1" applyBorder="1" applyAlignment="1">
      <alignment horizontal="left" wrapText="1"/>
    </xf>
    <xf numFmtId="0" fontId="4" fillId="0" borderId="0" xfId="0" applyFont="1" applyBorder="1" applyAlignment="1">
      <alignment vertical="top" wrapText="1"/>
    </xf>
    <xf numFmtId="0" fontId="4" fillId="0" borderId="0" xfId="0" applyNumberFormat="1" applyFont="1" applyFill="1" applyBorder="1" applyAlignment="1">
      <alignment horizontal="left" vertical="top" wrapText="1"/>
    </xf>
    <xf numFmtId="0" fontId="4" fillId="0" borderId="0" xfId="2"/>
    <xf numFmtId="0" fontId="4" fillId="0" borderId="0" xfId="2" applyNumberFormat="1" applyFont="1" applyFill="1" applyBorder="1" applyAlignment="1">
      <alignment horizontal="left" vertical="top" wrapText="1"/>
    </xf>
    <xf numFmtId="0" fontId="4" fillId="0" borderId="0" xfId="2" applyFont="1" applyBorder="1" applyAlignment="1">
      <alignment horizontal="left" vertical="top" wrapText="1"/>
    </xf>
    <xf numFmtId="0" fontId="4" fillId="5" borderId="0" xfId="2" applyNumberFormat="1" applyFont="1" applyFill="1" applyBorder="1" applyAlignment="1">
      <alignment horizontal="left" vertical="top" wrapText="1"/>
    </xf>
    <xf numFmtId="0" fontId="13" fillId="6" borderId="0" xfId="1" applyFont="1" applyFill="1" applyAlignment="1">
      <alignment vertical="top"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top" wrapText="1"/>
    </xf>
    <xf numFmtId="0" fontId="0" fillId="0" borderId="0" xfId="0" applyAlignment="1">
      <alignment horizontal="center"/>
    </xf>
    <xf numFmtId="0" fontId="4" fillId="0" borderId="0" xfId="0" applyFont="1" applyAlignment="1">
      <alignment horizontal="center" vertical="top"/>
    </xf>
    <xf numFmtId="0" fontId="4" fillId="0" borderId="0" xfId="0" applyFont="1"/>
    <xf numFmtId="0" fontId="4" fillId="0" borderId="0" xfId="0" applyFont="1" applyAlignment="1">
      <alignment vertical="top" wrapText="1"/>
    </xf>
    <xf numFmtId="0" fontId="9" fillId="3" borderId="0" xfId="0" applyFont="1" applyFill="1" applyAlignment="1">
      <alignment horizontal="center" vertical="top"/>
    </xf>
    <xf numFmtId="0" fontId="9" fillId="3" borderId="0" xfId="0" applyFont="1" applyFill="1" applyAlignment="1">
      <alignment vertical="top"/>
    </xf>
    <xf numFmtId="0" fontId="10" fillId="0" borderId="0" xfId="0" applyFont="1"/>
    <xf numFmtId="0" fontId="9" fillId="0" borderId="0" xfId="0" applyFont="1" applyAlignment="1">
      <alignment horizontal="center" vertical="top"/>
    </xf>
    <xf numFmtId="0" fontId="0" fillId="0" borderId="0" xfId="0" applyFill="1" applyAlignment="1">
      <alignment horizontal="center" vertical="top"/>
    </xf>
    <xf numFmtId="0" fontId="0" fillId="3" borderId="0" xfId="0" applyFill="1" applyAlignment="1">
      <alignment vertical="top"/>
    </xf>
    <xf numFmtId="0" fontId="4" fillId="0" borderId="0" xfId="0" applyFont="1" applyAlignment="1">
      <alignment vertical="top"/>
    </xf>
    <xf numFmtId="0" fontId="9" fillId="0" borderId="0" xfId="0" applyFont="1" applyAlignment="1">
      <alignment vertical="top"/>
    </xf>
    <xf numFmtId="164" fontId="11" fillId="0" borderId="0" xfId="0" applyNumberFormat="1" applyFont="1" applyAlignment="1">
      <alignment horizontal="center" vertical="top"/>
    </xf>
    <xf numFmtId="164" fontId="11" fillId="0" borderId="0" xfId="0" applyNumberFormat="1" applyFont="1" applyAlignment="1">
      <alignment horizontal="left" vertical="top"/>
    </xf>
    <xf numFmtId="1" fontId="3" fillId="2" borderId="0" xfId="0" applyNumberFormat="1" applyFont="1" applyFill="1" applyBorder="1" applyAlignment="1">
      <alignment horizontal="left" wrapText="1"/>
    </xf>
    <xf numFmtId="1" fontId="4" fillId="4" borderId="0" xfId="0" applyNumberFormat="1" applyFont="1" applyFill="1" applyBorder="1" applyAlignment="1">
      <alignment horizontal="left" vertical="top"/>
    </xf>
  </cellXfs>
  <cellStyles count="3">
    <cellStyle name="Normal" xfId="0" builtinId="0"/>
    <cellStyle name="Normal 2" xfId="1"/>
    <cellStyle name="Normal 3" xfId="2"/>
  </cellStyles>
  <dxfs count="2">
    <dxf>
      <fill>
        <patternFill>
          <bgColor indexed="43"/>
        </patternFill>
      </fill>
    </dxf>
    <dxf>
      <fill>
        <patternFill>
          <bgColor indexed="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634635691657866"/>
          <c:y val="8.8235610910252865E-2"/>
          <c:w val="0.81942977824709606"/>
          <c:h val="0.8308853360715478"/>
        </c:manualLayout>
      </c:layout>
      <c:barChart>
        <c:barDir val="col"/>
        <c:grouping val="clustered"/>
        <c:varyColors val="0"/>
        <c:ser>
          <c:idx val="0"/>
          <c:order val="0"/>
          <c:tx>
            <c:v>Daily Progress</c:v>
          </c:tx>
          <c:spPr>
            <a:solidFill>
              <a:srgbClr val="9999FF"/>
            </a:solidFill>
            <a:ln w="12700">
              <a:solidFill>
                <a:srgbClr val="000000"/>
              </a:solidFill>
              <a:prstDash val="solid"/>
            </a:ln>
          </c:spPr>
          <c:invertIfNegative val="0"/>
          <c:val>
            <c:numRef>
              <c:f>'Sp2'!$F$10:$AD$10</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87EC-411F-9B95-589E2EF17ACF}"/>
            </c:ext>
          </c:extLst>
        </c:ser>
        <c:dLbls>
          <c:showLegendKey val="0"/>
          <c:showVal val="0"/>
          <c:showCatName val="0"/>
          <c:showSerName val="0"/>
          <c:showPercent val="0"/>
          <c:showBubbleSize val="0"/>
        </c:dLbls>
        <c:gapWidth val="150"/>
        <c:axId val="425837472"/>
        <c:axId val="425836912"/>
      </c:barChart>
      <c:lineChart>
        <c:grouping val="standard"/>
        <c:varyColors val="0"/>
        <c:ser>
          <c:idx val="1"/>
          <c:order val="1"/>
          <c:tx>
            <c:v>Ideal Progress</c:v>
          </c:tx>
          <c:spPr>
            <a:ln w="12700">
              <a:solidFill>
                <a:srgbClr val="969696"/>
              </a:solidFill>
              <a:prstDash val="solid"/>
            </a:ln>
          </c:spPr>
          <c:marker>
            <c:symbol val="none"/>
          </c:marker>
          <c:val>
            <c:numRef>
              <c:f>'Sp2'!$F$11:$AD$11</c:f>
              <c:numCache>
                <c:formatCode>General</c:formatCode>
                <c:ptCount val="25"/>
                <c:pt idx="0">
                  <c:v>65</c:v>
                </c:pt>
                <c:pt idx="1">
                  <c:v>52</c:v>
                </c:pt>
                <c:pt idx="2">
                  <c:v>39</c:v>
                </c:pt>
                <c:pt idx="3">
                  <c:v>26</c:v>
                </c:pt>
                <c:pt idx="4">
                  <c:v>13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1-87EC-411F-9B95-589E2EF17ACF}"/>
            </c:ext>
          </c:extLst>
        </c:ser>
        <c:ser>
          <c:idx val="2"/>
          <c:order val="2"/>
          <c:tx>
            <c:v>Current Trend</c:v>
          </c:tx>
          <c:spPr>
            <a:ln w="3175">
              <a:solidFill>
                <a:srgbClr val="0000FF"/>
              </a:solidFill>
              <a:prstDash val="solid"/>
            </a:ln>
          </c:spPr>
          <c:marker>
            <c:symbol val="none"/>
          </c:marker>
          <c:val>
            <c:numRef>
              <c:f>'Sp2'!$F$12:$AD$12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87EC-411F-9B95-589E2EF17ACF}"/>
            </c:ext>
          </c:extLst>
        </c:ser>
        <c:dLbls>
          <c:showLegendKey val="0"/>
          <c:showVal val="0"/>
          <c:showCatName val="0"/>
          <c:showSerName val="0"/>
          <c:showPercent val="0"/>
          <c:showBubbleSize val="0"/>
        </c:dLbls>
        <c:marker val="1"/>
        <c:smooth val="0"/>
        <c:axId val="425837472"/>
        <c:axId val="425836912"/>
      </c:lineChart>
      <c:catAx>
        <c:axId val="425837472"/>
        <c:scaling>
          <c:orientation val="minMax"/>
        </c:scaling>
        <c:delete val="1"/>
        <c:axPos val="b"/>
        <c:majorTickMark val="out"/>
        <c:minorTickMark val="none"/>
        <c:tickLblPos val="nextTo"/>
        <c:crossAx val="425836912"/>
        <c:crosses val="autoZero"/>
        <c:auto val="1"/>
        <c:lblAlgn val="ctr"/>
        <c:lblOffset val="100"/>
        <c:noMultiLvlLbl val="0"/>
      </c:catAx>
      <c:valAx>
        <c:axId val="425836912"/>
        <c:scaling>
          <c:orientation val="minMax"/>
          <c:min val="0"/>
        </c:scaling>
        <c:delete val="0"/>
        <c:axPos val="l"/>
        <c:title>
          <c:tx>
            <c:rich>
              <a:bodyPr/>
              <a:lstStyle/>
              <a:p>
                <a:pPr>
                  <a:defRPr sz="800" b="0" i="0" u="none" strike="noStrike" baseline="0">
                    <a:solidFill>
                      <a:srgbClr val="000000"/>
                    </a:solidFill>
                    <a:latin typeface="Arial"/>
                    <a:ea typeface="Arial"/>
                    <a:cs typeface="Arial"/>
                  </a:defRPr>
                </a:pPr>
                <a:r>
                  <a:rPr lang="en-IE"/>
                  <a:t>Work Remaining (pts)</a:t>
                </a:r>
              </a:p>
            </c:rich>
          </c:tx>
          <c:layout>
            <c:manualLayout>
              <c:xMode val="edge"/>
              <c:yMode val="edge"/>
              <c:x val="0.1267158962642623"/>
              <c:y val="0.1397066543152694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50" b="0" i="0" u="none" strike="noStrike" baseline="0">
                <a:solidFill>
                  <a:srgbClr val="000000"/>
                </a:solidFill>
                <a:latin typeface="Arial"/>
                <a:ea typeface="Arial"/>
                <a:cs typeface="Arial"/>
              </a:defRPr>
            </a:pPr>
            <a:endParaRPr lang="en-US"/>
          </a:p>
        </c:txPr>
        <c:crossAx val="425837472"/>
        <c:crosses val="autoZero"/>
        <c:crossBetween val="between"/>
      </c:valAx>
      <c:spPr>
        <a:solidFill>
          <a:srgbClr val="C0C0C0"/>
        </a:solidFill>
        <a:ln w="12700">
          <a:solidFill>
            <a:srgbClr val="808080"/>
          </a:solidFill>
          <a:prstDash val="solid"/>
        </a:ln>
      </c:spPr>
    </c:plotArea>
    <c:legend>
      <c:legendPos val="l"/>
      <c:layout>
        <c:manualLayout>
          <c:xMode val="edge"/>
          <c:yMode val="edge"/>
          <c:wMode val="edge"/>
          <c:hMode val="edge"/>
          <c:x val="8.447690152720547E-3"/>
          <c:y val="6.6176470588235295E-2"/>
          <c:w val="0.12249205118790203"/>
          <c:h val="0.49264860274818589"/>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485775</xdr:colOff>
      <xdr:row>0</xdr:row>
      <xdr:rowOff>38100</xdr:rowOff>
    </xdr:from>
    <xdr:to>
      <xdr:col>30</xdr:col>
      <xdr:colOff>47625</xdr:colOff>
      <xdr:row>7</xdr:row>
      <xdr:rowOff>133350</xdr:rowOff>
    </xdr:to>
    <xdr:graphicFrame macro="">
      <xdr:nvGraphicFramePr>
        <xdr:cNvPr id="16406" name="Chart 2">
          <a:extLst>
            <a:ext uri="{FF2B5EF4-FFF2-40B4-BE49-F238E27FC236}">
              <a16:creationId xmlns:a16="http://schemas.microsoft.com/office/drawing/2014/main" id="{F278F9C8-12DA-4C53-8271-590779AEE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topLeftCell="A10" workbookViewId="0">
      <selection activeCell="B32" sqref="B32"/>
    </sheetView>
  </sheetViews>
  <sheetFormatPr defaultColWidth="9.1796875" defaultRowHeight="12.5" x14ac:dyDescent="0.25"/>
  <sheetData/>
  <phoneticPr fontId="0" type="noConversion"/>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6"/>
  <sheetViews>
    <sheetView tabSelected="1" zoomScale="88" zoomScaleNormal="88" workbookViewId="0">
      <selection activeCell="D4" sqref="D4"/>
    </sheetView>
  </sheetViews>
  <sheetFormatPr defaultColWidth="9.1796875" defaultRowHeight="12.5" x14ac:dyDescent="0.25"/>
  <cols>
    <col min="1" max="1" width="8.81640625" style="16" customWidth="1"/>
    <col min="2" max="2" width="24.453125" style="15" customWidth="1"/>
    <col min="3" max="3" width="27.81640625" style="15" customWidth="1"/>
    <col min="4" max="4" width="36.81640625" style="15" customWidth="1"/>
    <col min="5" max="5" width="35.1796875" style="15" customWidth="1"/>
    <col min="6" max="6" width="11.1796875" style="43" customWidth="1"/>
    <col min="7" max="16384" width="9.1796875" style="11"/>
  </cols>
  <sheetData>
    <row r="1" spans="1:6" s="14" customFormat="1" ht="34.5" customHeight="1" x14ac:dyDescent="0.35">
      <c r="A1" s="17" t="s">
        <v>0</v>
      </c>
      <c r="B1" s="14" t="s">
        <v>1</v>
      </c>
      <c r="C1" s="14" t="s">
        <v>2</v>
      </c>
      <c r="D1" s="14" t="s">
        <v>3</v>
      </c>
      <c r="E1" s="14" t="s">
        <v>4</v>
      </c>
      <c r="F1" s="42" t="s">
        <v>5</v>
      </c>
    </row>
    <row r="2" spans="1:6" ht="37.5" x14ac:dyDescent="0.25">
      <c r="A2" s="16">
        <v>1</v>
      </c>
      <c r="B2" s="15" t="s">
        <v>6</v>
      </c>
      <c r="C2" s="15" t="s">
        <v>7</v>
      </c>
      <c r="D2" s="19" t="s">
        <v>280</v>
      </c>
      <c r="E2" s="19"/>
      <c r="F2" s="43">
        <v>5</v>
      </c>
    </row>
    <row r="3" spans="1:6" ht="37.5" x14ac:dyDescent="0.25">
      <c r="A3" s="16">
        <v>2</v>
      </c>
      <c r="B3" s="15" t="s">
        <v>8</v>
      </c>
      <c r="C3" s="15" t="s">
        <v>9</v>
      </c>
      <c r="D3" s="19" t="s">
        <v>281</v>
      </c>
      <c r="E3" s="19"/>
      <c r="F3" s="43">
        <v>5</v>
      </c>
    </row>
    <row r="4" spans="1:6" ht="37.5" x14ac:dyDescent="0.25">
      <c r="A4" s="16">
        <v>3</v>
      </c>
      <c r="B4" s="15" t="s">
        <v>271</v>
      </c>
      <c r="C4" s="15" t="s">
        <v>275</v>
      </c>
      <c r="D4" s="19" t="s">
        <v>276</v>
      </c>
      <c r="E4" s="19"/>
      <c r="F4" s="43">
        <v>8</v>
      </c>
    </row>
    <row r="5" spans="1:6" ht="37.5" x14ac:dyDescent="0.25">
      <c r="A5" s="16">
        <v>4</v>
      </c>
      <c r="B5" s="15" t="s">
        <v>10</v>
      </c>
      <c r="C5" s="15" t="s">
        <v>11</v>
      </c>
      <c r="D5" s="19" t="s">
        <v>12</v>
      </c>
      <c r="E5" s="19"/>
      <c r="F5" s="43">
        <v>8</v>
      </c>
    </row>
    <row r="6" spans="1:6" ht="37.5" x14ac:dyDescent="0.25">
      <c r="A6" s="16">
        <v>5</v>
      </c>
      <c r="B6" s="15" t="s">
        <v>272</v>
      </c>
      <c r="C6" s="15" t="s">
        <v>273</v>
      </c>
      <c r="D6" s="19" t="s">
        <v>277</v>
      </c>
      <c r="E6" s="19"/>
      <c r="F6" s="43">
        <v>8</v>
      </c>
    </row>
    <row r="7" spans="1:6" ht="50" x14ac:dyDescent="0.25">
      <c r="A7" s="16">
        <v>6</v>
      </c>
      <c r="B7" s="15" t="s">
        <v>13</v>
      </c>
      <c r="C7" s="15" t="s">
        <v>14</v>
      </c>
      <c r="D7" s="19" t="s">
        <v>15</v>
      </c>
      <c r="E7" s="19"/>
      <c r="F7" s="43">
        <v>5</v>
      </c>
    </row>
    <row r="8" spans="1:6" ht="62.5" x14ac:dyDescent="0.25">
      <c r="A8" s="16">
        <v>7</v>
      </c>
      <c r="B8" s="15" t="s">
        <v>274</v>
      </c>
      <c r="C8" s="15" t="s">
        <v>279</v>
      </c>
      <c r="D8" s="19" t="s">
        <v>278</v>
      </c>
      <c r="E8" s="19"/>
      <c r="F8" s="43">
        <v>8</v>
      </c>
    </row>
    <row r="9" spans="1:6" ht="37.5" x14ac:dyDescent="0.25">
      <c r="A9" s="16">
        <v>8</v>
      </c>
      <c r="B9" s="15" t="s">
        <v>16</v>
      </c>
      <c r="C9" s="15" t="s">
        <v>17</v>
      </c>
      <c r="D9" s="19" t="s">
        <v>18</v>
      </c>
      <c r="E9" s="19"/>
      <c r="F9" s="43">
        <v>5</v>
      </c>
    </row>
    <row r="10" spans="1:6" ht="37.5" x14ac:dyDescent="0.25">
      <c r="A10" s="16">
        <v>9</v>
      </c>
      <c r="B10" s="15" t="s">
        <v>19</v>
      </c>
      <c r="C10" s="15" t="s">
        <v>20</v>
      </c>
      <c r="D10" s="19" t="s">
        <v>21</v>
      </c>
      <c r="E10" s="19"/>
      <c r="F10" s="43">
        <v>5</v>
      </c>
    </row>
    <row r="11" spans="1:6" ht="37.5" x14ac:dyDescent="0.25">
      <c r="A11" s="16">
        <v>10</v>
      </c>
      <c r="B11" s="15" t="s">
        <v>22</v>
      </c>
      <c r="C11" s="15" t="s">
        <v>23</v>
      </c>
      <c r="D11" s="19" t="s">
        <v>24</v>
      </c>
      <c r="F11" s="43">
        <v>13</v>
      </c>
    </row>
    <row r="12" spans="1:6" ht="50" x14ac:dyDescent="0.25">
      <c r="A12" s="16">
        <v>11</v>
      </c>
      <c r="B12" s="15" t="s">
        <v>25</v>
      </c>
      <c r="C12" s="15" t="s">
        <v>26</v>
      </c>
      <c r="D12" s="19" t="s">
        <v>27</v>
      </c>
      <c r="E12" s="19"/>
      <c r="F12" s="43">
        <v>8</v>
      </c>
    </row>
    <row r="13" spans="1:6" ht="50" x14ac:dyDescent="0.25">
      <c r="A13" s="16">
        <v>12</v>
      </c>
      <c r="B13" s="15" t="s">
        <v>28</v>
      </c>
      <c r="C13" s="15" t="s">
        <v>29</v>
      </c>
      <c r="D13" s="19" t="s">
        <v>30</v>
      </c>
      <c r="E13" s="19"/>
      <c r="F13" s="43">
        <v>5</v>
      </c>
    </row>
    <row r="14" spans="1:6" ht="50" x14ac:dyDescent="0.25">
      <c r="A14" s="16">
        <v>13</v>
      </c>
      <c r="B14" s="15" t="s">
        <v>31</v>
      </c>
      <c r="C14" s="15" t="s">
        <v>32</v>
      </c>
      <c r="D14" s="19" t="s">
        <v>33</v>
      </c>
      <c r="E14" s="19"/>
      <c r="F14" s="43">
        <v>8</v>
      </c>
    </row>
    <row r="15" spans="1:6" ht="50" x14ac:dyDescent="0.25">
      <c r="A15" s="16">
        <v>14</v>
      </c>
      <c r="B15" s="15" t="s">
        <v>34</v>
      </c>
      <c r="C15" s="15" t="s">
        <v>35</v>
      </c>
      <c r="D15" s="19" t="s">
        <v>36</v>
      </c>
      <c r="E15" s="19"/>
      <c r="F15" s="43">
        <v>5</v>
      </c>
    </row>
    <row r="16" spans="1:6" ht="50" x14ac:dyDescent="0.25">
      <c r="A16" s="16">
        <v>15</v>
      </c>
      <c r="B16" s="15" t="s">
        <v>37</v>
      </c>
      <c r="C16" s="15" t="s">
        <v>38</v>
      </c>
      <c r="D16" s="15" t="s">
        <v>39</v>
      </c>
      <c r="E16" s="19"/>
      <c r="F16" s="43">
        <v>13</v>
      </c>
    </row>
    <row r="17" spans="1:6" ht="50" x14ac:dyDescent="0.25">
      <c r="A17" s="16">
        <v>16</v>
      </c>
      <c r="B17" s="15" t="s">
        <v>40</v>
      </c>
      <c r="C17" s="15" t="s">
        <v>41</v>
      </c>
      <c r="D17" s="19" t="s">
        <v>42</v>
      </c>
      <c r="E17" s="19"/>
      <c r="F17" s="43">
        <v>20</v>
      </c>
    </row>
    <row r="18" spans="1:6" ht="50" x14ac:dyDescent="0.25">
      <c r="A18" s="16">
        <v>17</v>
      </c>
      <c r="B18" s="15" t="s">
        <v>43</v>
      </c>
      <c r="C18" s="15" t="s">
        <v>44</v>
      </c>
      <c r="D18" s="19" t="s">
        <v>45</v>
      </c>
      <c r="E18" s="19"/>
      <c r="F18" s="43">
        <v>40</v>
      </c>
    </row>
    <row r="19" spans="1:6" ht="57.75" customHeight="1" x14ac:dyDescent="0.25">
      <c r="A19" s="16">
        <v>18</v>
      </c>
      <c r="B19" s="15" t="s">
        <v>46</v>
      </c>
      <c r="C19" s="15" t="s">
        <v>47</v>
      </c>
      <c r="D19" s="19" t="s">
        <v>48</v>
      </c>
      <c r="E19" s="19"/>
    </row>
    <row r="20" spans="1:6" ht="37.5" x14ac:dyDescent="0.25">
      <c r="A20" s="16">
        <v>19</v>
      </c>
      <c r="B20" s="15" t="s">
        <v>49</v>
      </c>
      <c r="C20" s="15" t="s">
        <v>50</v>
      </c>
      <c r="D20" s="19" t="s">
        <v>51</v>
      </c>
      <c r="E20" s="19"/>
    </row>
    <row r="21" spans="1:6" ht="62.5" x14ac:dyDescent="0.25">
      <c r="A21" s="16">
        <v>20</v>
      </c>
      <c r="B21" s="15" t="s">
        <v>52</v>
      </c>
      <c r="C21" s="15" t="s">
        <v>53</v>
      </c>
      <c r="D21" s="19" t="s">
        <v>54</v>
      </c>
      <c r="E21" s="19"/>
    </row>
    <row r="22" spans="1:6" ht="25" x14ac:dyDescent="0.25">
      <c r="A22" s="16">
        <v>21</v>
      </c>
      <c r="B22" s="15" t="s">
        <v>55</v>
      </c>
      <c r="C22" s="15" t="s">
        <v>56</v>
      </c>
      <c r="D22" s="19" t="s">
        <v>57</v>
      </c>
      <c r="E22" s="19"/>
    </row>
    <row r="23" spans="1:6" ht="25" x14ac:dyDescent="0.25">
      <c r="A23" s="16">
        <v>22</v>
      </c>
      <c r="B23" s="15" t="s">
        <v>58</v>
      </c>
      <c r="C23" s="15" t="s">
        <v>59</v>
      </c>
      <c r="D23" s="15" t="s">
        <v>60</v>
      </c>
    </row>
    <row r="24" spans="1:6" ht="25" x14ac:dyDescent="0.25">
      <c r="A24" s="16">
        <v>23</v>
      </c>
      <c r="B24" s="15" t="s">
        <v>61</v>
      </c>
      <c r="C24" s="15" t="s">
        <v>62</v>
      </c>
      <c r="D24" s="15" t="s">
        <v>63</v>
      </c>
    </row>
    <row r="25" spans="1:6" ht="25" x14ac:dyDescent="0.25">
      <c r="A25" s="16">
        <v>24</v>
      </c>
      <c r="B25" s="15" t="s">
        <v>64</v>
      </c>
      <c r="C25" s="15" t="s">
        <v>65</v>
      </c>
      <c r="D25" s="15" t="s">
        <v>66</v>
      </c>
    </row>
    <row r="26" spans="1:6" ht="37.5" x14ac:dyDescent="0.25">
      <c r="A26" s="16">
        <v>25</v>
      </c>
      <c r="B26" s="15" t="s">
        <v>67</v>
      </c>
      <c r="C26" s="15" t="s">
        <v>68</v>
      </c>
      <c r="D26" s="15" t="s">
        <v>69</v>
      </c>
    </row>
  </sheetData>
  <autoFilter ref="A1:F22">
    <sortState ref="A2:F17">
      <sortCondition ref="A1:A17"/>
    </sortState>
  </autoFilter>
  <phoneticPr fontId="0" type="noConversion"/>
  <pageMargins left="0.74803149606299213" right="0.74803149606299213" top="0.98425196850393704" bottom="0.98425196850393704" header="0.51181102362204722" footer="0.51181102362204722"/>
  <pageSetup paperSize="9"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45"/>
  <sheetViews>
    <sheetView topLeftCell="A9" workbookViewId="0">
      <selection activeCell="H2" sqref="H2"/>
    </sheetView>
  </sheetViews>
  <sheetFormatPr defaultRowHeight="12.5" x14ac:dyDescent="0.25"/>
  <cols>
    <col min="2" max="2" width="23.54296875" customWidth="1"/>
    <col min="3" max="3" width="20.54296875" customWidth="1"/>
    <col min="4" max="4" width="23.7265625" customWidth="1"/>
    <col min="5" max="5" width="33.26953125" customWidth="1"/>
  </cols>
  <sheetData>
    <row r="1" spans="2:5" ht="15.5" x14ac:dyDescent="0.35">
      <c r="B1" s="14" t="s">
        <v>1</v>
      </c>
      <c r="C1" s="14" t="s">
        <v>2</v>
      </c>
      <c r="D1" s="14" t="s">
        <v>3</v>
      </c>
      <c r="E1" s="14" t="s">
        <v>4</v>
      </c>
    </row>
    <row r="2" spans="2:5" ht="150" x14ac:dyDescent="0.25">
      <c r="B2" s="19" t="s">
        <v>70</v>
      </c>
      <c r="C2" s="19" t="s">
        <v>71</v>
      </c>
      <c r="D2" s="19" t="s">
        <v>72</v>
      </c>
      <c r="E2" s="19" t="s">
        <v>73</v>
      </c>
    </row>
    <row r="3" spans="2:5" ht="100" x14ac:dyDescent="0.25">
      <c r="B3" s="19" t="s">
        <v>74</v>
      </c>
      <c r="C3" s="19" t="s">
        <v>75</v>
      </c>
      <c r="D3" s="19" t="s">
        <v>76</v>
      </c>
      <c r="E3" s="19" t="s">
        <v>77</v>
      </c>
    </row>
    <row r="4" spans="2:5" ht="100" x14ac:dyDescent="0.25">
      <c r="B4" s="19" t="s">
        <v>78</v>
      </c>
      <c r="C4" s="19" t="s">
        <v>79</v>
      </c>
      <c r="D4" s="19" t="s">
        <v>80</v>
      </c>
      <c r="E4" s="19" t="s">
        <v>81</v>
      </c>
    </row>
    <row r="5" spans="2:5" ht="137.5" x14ac:dyDescent="0.25">
      <c r="B5" s="19" t="s">
        <v>82</v>
      </c>
      <c r="C5" s="19" t="s">
        <v>83</v>
      </c>
      <c r="D5" s="19" t="s">
        <v>84</v>
      </c>
      <c r="E5" s="19" t="s">
        <v>85</v>
      </c>
    </row>
    <row r="6" spans="2:5" ht="175" x14ac:dyDescent="0.25">
      <c r="B6" s="19" t="s">
        <v>86</v>
      </c>
      <c r="C6" s="19" t="s">
        <v>87</v>
      </c>
      <c r="D6" s="19" t="s">
        <v>88</v>
      </c>
      <c r="E6" s="19" t="s">
        <v>89</v>
      </c>
    </row>
    <row r="7" spans="2:5" ht="125" x14ac:dyDescent="0.25">
      <c r="B7" s="19" t="s">
        <v>90</v>
      </c>
      <c r="C7" s="19" t="s">
        <v>91</v>
      </c>
      <c r="D7" s="19" t="s">
        <v>92</v>
      </c>
      <c r="E7" s="19" t="s">
        <v>93</v>
      </c>
    </row>
    <row r="8" spans="2:5" ht="137.5" x14ac:dyDescent="0.25">
      <c r="B8" s="19" t="s">
        <v>94</v>
      </c>
      <c r="C8" s="19" t="s">
        <v>95</v>
      </c>
      <c r="D8" s="19" t="s">
        <v>96</v>
      </c>
      <c r="E8" s="19" t="s">
        <v>97</v>
      </c>
    </row>
    <row r="9" spans="2:5" ht="112.5" x14ac:dyDescent="0.25">
      <c r="B9" s="19" t="s">
        <v>98</v>
      </c>
      <c r="C9" s="19" t="s">
        <v>99</v>
      </c>
      <c r="D9" s="19" t="s">
        <v>100</v>
      </c>
      <c r="E9" s="19" t="s">
        <v>101</v>
      </c>
    </row>
    <row r="10" spans="2:5" ht="87.5" x14ac:dyDescent="0.25">
      <c r="B10" s="19" t="s">
        <v>102</v>
      </c>
      <c r="C10" s="19" t="s">
        <v>103</v>
      </c>
      <c r="D10" s="19" t="s">
        <v>104</v>
      </c>
      <c r="E10" s="19" t="s">
        <v>105</v>
      </c>
    </row>
    <row r="11" spans="2:5" ht="75" x14ac:dyDescent="0.25">
      <c r="B11" s="19" t="s">
        <v>106</v>
      </c>
      <c r="C11" s="19" t="s">
        <v>107</v>
      </c>
      <c r="D11" s="19" t="s">
        <v>108</v>
      </c>
      <c r="E11" s="19" t="s">
        <v>109</v>
      </c>
    </row>
    <row r="12" spans="2:5" ht="100" x14ac:dyDescent="0.25">
      <c r="B12" s="19" t="s">
        <v>110</v>
      </c>
      <c r="C12" s="19" t="s">
        <v>111</v>
      </c>
      <c r="D12" s="19" t="s">
        <v>112</v>
      </c>
      <c r="E12" s="19" t="s">
        <v>113</v>
      </c>
    </row>
    <row r="13" spans="2:5" ht="75" x14ac:dyDescent="0.25">
      <c r="B13" s="19" t="s">
        <v>114</v>
      </c>
      <c r="C13" s="19" t="s">
        <v>115</v>
      </c>
      <c r="D13" s="19" t="s">
        <v>116</v>
      </c>
      <c r="E13" s="19" t="s">
        <v>117</v>
      </c>
    </row>
    <row r="14" spans="2:5" ht="100" x14ac:dyDescent="0.25">
      <c r="B14" s="19" t="s">
        <v>118</v>
      </c>
      <c r="C14" s="19" t="s">
        <v>119</v>
      </c>
      <c r="D14" s="19" t="s">
        <v>120</v>
      </c>
      <c r="E14" s="19" t="s">
        <v>121</v>
      </c>
    </row>
    <row r="15" spans="2:5" ht="75" x14ac:dyDescent="0.25">
      <c r="B15" s="19" t="s">
        <v>106</v>
      </c>
      <c r="C15" s="19" t="s">
        <v>122</v>
      </c>
      <c r="D15" s="19" t="s">
        <v>123</v>
      </c>
      <c r="E15" s="19" t="s">
        <v>109</v>
      </c>
    </row>
    <row r="16" spans="2:5" ht="87.5" x14ac:dyDescent="0.25">
      <c r="B16" s="19" t="s">
        <v>110</v>
      </c>
      <c r="C16" s="19" t="s">
        <v>124</v>
      </c>
      <c r="D16" s="19" t="s">
        <v>112</v>
      </c>
      <c r="E16" s="19" t="s">
        <v>113</v>
      </c>
    </row>
    <row r="17" spans="2:5" ht="137.5" x14ac:dyDescent="0.25">
      <c r="B17" s="19" t="s">
        <v>125</v>
      </c>
      <c r="C17" s="19" t="s">
        <v>126</v>
      </c>
      <c r="D17" s="19" t="s">
        <v>127</v>
      </c>
      <c r="E17" s="19" t="s">
        <v>128</v>
      </c>
    </row>
    <row r="18" spans="2:5" ht="125" x14ac:dyDescent="0.25">
      <c r="B18" s="19" t="s">
        <v>46</v>
      </c>
      <c r="C18" s="19" t="s">
        <v>129</v>
      </c>
      <c r="D18" s="19" t="s">
        <v>130</v>
      </c>
      <c r="E18" s="19" t="s">
        <v>131</v>
      </c>
    </row>
    <row r="19" spans="2:5" ht="125" x14ac:dyDescent="0.25">
      <c r="B19" s="19" t="s">
        <v>132</v>
      </c>
      <c r="C19" s="19" t="s">
        <v>133</v>
      </c>
      <c r="D19" s="19" t="s">
        <v>134</v>
      </c>
      <c r="E19" s="24" t="s">
        <v>135</v>
      </c>
    </row>
    <row r="20" spans="2:5" ht="150" x14ac:dyDescent="0.25">
      <c r="B20" s="19" t="s">
        <v>52</v>
      </c>
      <c r="C20" s="19" t="s">
        <v>136</v>
      </c>
      <c r="D20" s="19" t="s">
        <v>137</v>
      </c>
      <c r="E20" s="19" t="s">
        <v>138</v>
      </c>
    </row>
    <row r="21" spans="2:5" ht="100" x14ac:dyDescent="0.25">
      <c r="B21" s="19" t="s">
        <v>139</v>
      </c>
      <c r="C21" s="19" t="s">
        <v>140</v>
      </c>
      <c r="D21" s="19" t="s">
        <v>141</v>
      </c>
      <c r="E21" s="19" t="s">
        <v>142</v>
      </c>
    </row>
    <row r="22" spans="2:5" ht="100" x14ac:dyDescent="0.25">
      <c r="B22" s="19" t="s">
        <v>143</v>
      </c>
      <c r="C22" s="19" t="s">
        <v>144</v>
      </c>
      <c r="D22" s="19" t="s">
        <v>145</v>
      </c>
      <c r="E22" s="19" t="s">
        <v>146</v>
      </c>
    </row>
    <row r="23" spans="2:5" ht="87.5" x14ac:dyDescent="0.25">
      <c r="B23" s="19" t="s">
        <v>147</v>
      </c>
      <c r="C23" s="19" t="s">
        <v>148</v>
      </c>
      <c r="D23" s="19" t="s">
        <v>149</v>
      </c>
      <c r="E23" s="19" t="s">
        <v>150</v>
      </c>
    </row>
    <row r="24" spans="2:5" ht="112.5" x14ac:dyDescent="0.25">
      <c r="B24" s="19" t="s">
        <v>151</v>
      </c>
      <c r="C24" s="19" t="s">
        <v>152</v>
      </c>
      <c r="D24" s="19" t="s">
        <v>153</v>
      </c>
      <c r="E24" s="24" t="s">
        <v>154</v>
      </c>
    </row>
    <row r="25" spans="2:5" ht="112.5" x14ac:dyDescent="0.25">
      <c r="B25" s="19" t="s">
        <v>64</v>
      </c>
      <c r="C25" s="19" t="s">
        <v>155</v>
      </c>
      <c r="D25" s="19" t="s">
        <v>156</v>
      </c>
      <c r="E25" s="19" t="s">
        <v>157</v>
      </c>
    </row>
    <row r="26" spans="2:5" ht="124.5" x14ac:dyDescent="0.25">
      <c r="B26" s="19" t="s">
        <v>67</v>
      </c>
      <c r="C26" s="19" t="s">
        <v>158</v>
      </c>
      <c r="D26" s="19" t="s">
        <v>159</v>
      </c>
      <c r="E26" s="19" t="s">
        <v>160</v>
      </c>
    </row>
    <row r="27" spans="2:5" ht="125" x14ac:dyDescent="0.25">
      <c r="B27" s="19" t="s">
        <v>161</v>
      </c>
      <c r="C27" s="19" t="s">
        <v>162</v>
      </c>
      <c r="D27" s="19" t="s">
        <v>163</v>
      </c>
      <c r="E27" s="19" t="s">
        <v>164</v>
      </c>
    </row>
    <row r="28" spans="2:5" ht="75" x14ac:dyDescent="0.25">
      <c r="B28" s="19" t="s">
        <v>165</v>
      </c>
      <c r="C28" s="19" t="s">
        <v>166</v>
      </c>
      <c r="D28" s="19" t="s">
        <v>108</v>
      </c>
      <c r="E28" s="19" t="s">
        <v>109</v>
      </c>
    </row>
    <row r="29" spans="2:5" ht="125" x14ac:dyDescent="0.25">
      <c r="B29" s="19" t="s">
        <v>167</v>
      </c>
      <c r="C29" s="19" t="s">
        <v>168</v>
      </c>
      <c r="D29" s="19" t="s">
        <v>169</v>
      </c>
      <c r="E29" s="19" t="s">
        <v>170</v>
      </c>
    </row>
    <row r="30" spans="2:5" ht="125" x14ac:dyDescent="0.25">
      <c r="B30" s="19" t="s">
        <v>171</v>
      </c>
      <c r="C30" s="19" t="s">
        <v>172</v>
      </c>
      <c r="D30" s="19" t="s">
        <v>173</v>
      </c>
      <c r="E30" s="19" t="s">
        <v>174</v>
      </c>
    </row>
    <row r="31" spans="2:5" ht="87.5" x14ac:dyDescent="0.25">
      <c r="B31" s="19" t="s">
        <v>114</v>
      </c>
      <c r="C31" s="19" t="s">
        <v>175</v>
      </c>
      <c r="D31" s="19" t="s">
        <v>176</v>
      </c>
      <c r="E31" s="19" t="s">
        <v>177</v>
      </c>
    </row>
    <row r="32" spans="2:5" ht="150" x14ac:dyDescent="0.25">
      <c r="B32" s="19" t="s">
        <v>178</v>
      </c>
      <c r="C32" s="19" t="s">
        <v>179</v>
      </c>
      <c r="D32" s="19" t="s">
        <v>180</v>
      </c>
      <c r="E32" s="19" t="s">
        <v>181</v>
      </c>
    </row>
    <row r="33" spans="2:5" ht="175" x14ac:dyDescent="0.25">
      <c r="B33" s="19" t="s">
        <v>182</v>
      </c>
      <c r="C33" s="19" t="s">
        <v>183</v>
      </c>
      <c r="D33" s="19" t="s">
        <v>184</v>
      </c>
      <c r="E33" s="19" t="s">
        <v>185</v>
      </c>
    </row>
    <row r="34" spans="2:5" ht="100" x14ac:dyDescent="0.25">
      <c r="B34" s="19" t="s">
        <v>186</v>
      </c>
      <c r="C34" s="19" t="s">
        <v>187</v>
      </c>
      <c r="D34" s="19" t="s">
        <v>188</v>
      </c>
      <c r="E34" s="19" t="s">
        <v>113</v>
      </c>
    </row>
    <row r="35" spans="2:5" ht="162.5" x14ac:dyDescent="0.25">
      <c r="B35" s="19" t="s">
        <v>189</v>
      </c>
      <c r="C35" s="19" t="s">
        <v>190</v>
      </c>
      <c r="D35" s="19" t="s">
        <v>191</v>
      </c>
      <c r="E35" s="19" t="s">
        <v>192</v>
      </c>
    </row>
    <row r="36" spans="2:5" ht="100" x14ac:dyDescent="0.25">
      <c r="B36" s="19" t="s">
        <v>193</v>
      </c>
      <c r="C36" s="19" t="s">
        <v>194</v>
      </c>
      <c r="D36" s="19" t="s">
        <v>195</v>
      </c>
      <c r="E36" s="19" t="s">
        <v>196</v>
      </c>
    </row>
    <row r="37" spans="2:5" ht="37.5" x14ac:dyDescent="0.25">
      <c r="B37" s="19" t="s">
        <v>197</v>
      </c>
      <c r="C37" s="19" t="s">
        <v>198</v>
      </c>
      <c r="D37" s="19"/>
      <c r="E37" s="19" t="s">
        <v>199</v>
      </c>
    </row>
    <row r="38" spans="2:5" ht="50" x14ac:dyDescent="0.25">
      <c r="B38" s="23" t="s">
        <v>200</v>
      </c>
      <c r="C38" s="23" t="s">
        <v>201</v>
      </c>
      <c r="D38" s="23"/>
      <c r="E38" s="21" t="s">
        <v>202</v>
      </c>
    </row>
    <row r="39" spans="2:5" ht="62.5" x14ac:dyDescent="0.25">
      <c r="B39" s="22" t="s">
        <v>203</v>
      </c>
      <c r="C39" s="22" t="s">
        <v>204</v>
      </c>
      <c r="D39" s="20"/>
      <c r="E39" s="22" t="s">
        <v>205</v>
      </c>
    </row>
    <row r="40" spans="2:5" ht="87.5" x14ac:dyDescent="0.25">
      <c r="B40" s="21" t="s">
        <v>206</v>
      </c>
      <c r="C40" s="21" t="s">
        <v>207</v>
      </c>
      <c r="D40" s="21"/>
      <c r="E40" s="21" t="s">
        <v>208</v>
      </c>
    </row>
    <row r="41" spans="2:5" ht="50" x14ac:dyDescent="0.25">
      <c r="B41" s="21" t="s">
        <v>209</v>
      </c>
      <c r="C41" s="21" t="s">
        <v>210</v>
      </c>
      <c r="D41" s="21" t="s">
        <v>211</v>
      </c>
      <c r="E41" s="23" t="s">
        <v>212</v>
      </c>
    </row>
    <row r="42" spans="2:5" ht="87.5" x14ac:dyDescent="0.25">
      <c r="B42" s="22" t="s">
        <v>213</v>
      </c>
      <c r="C42" s="22" t="s">
        <v>214</v>
      </c>
      <c r="D42" s="20"/>
      <c r="E42" s="22" t="s">
        <v>215</v>
      </c>
    </row>
    <row r="43" spans="2:5" ht="62.5" x14ac:dyDescent="0.25">
      <c r="B43" s="21" t="s">
        <v>216</v>
      </c>
      <c r="C43" s="21" t="s">
        <v>217</v>
      </c>
      <c r="D43" s="21"/>
      <c r="E43" s="21" t="s">
        <v>218</v>
      </c>
    </row>
    <row r="44" spans="2:5" ht="62.5" x14ac:dyDescent="0.25">
      <c r="B44" s="21" t="s">
        <v>219</v>
      </c>
      <c r="C44" s="21" t="s">
        <v>220</v>
      </c>
      <c r="D44" s="21"/>
      <c r="E44" s="21" t="s">
        <v>221</v>
      </c>
    </row>
    <row r="45" spans="2:5" ht="62.5" x14ac:dyDescent="0.25">
      <c r="B45" s="22" t="s">
        <v>222</v>
      </c>
      <c r="C45" s="22" t="s">
        <v>223</v>
      </c>
      <c r="D45" s="20"/>
      <c r="E45" s="21" t="s">
        <v>224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1"/>
  <sheetViews>
    <sheetView topLeftCell="A8" zoomScaleNormal="100" workbookViewId="0">
      <selection activeCell="G5" sqref="G5"/>
    </sheetView>
  </sheetViews>
  <sheetFormatPr defaultColWidth="9.1796875" defaultRowHeight="12.5" x14ac:dyDescent="0.25"/>
  <cols>
    <col min="1" max="1" width="3.54296875" customWidth="1"/>
    <col min="2" max="2" width="59" customWidth="1"/>
    <col min="3" max="3" width="3.1796875" customWidth="1"/>
    <col min="4" max="4" width="13.26953125" bestFit="1" customWidth="1"/>
    <col min="5" max="5" width="2" customWidth="1"/>
  </cols>
  <sheetData>
    <row r="1" spans="1:5" x14ac:dyDescent="0.25">
      <c r="A1" s="2" t="s">
        <v>225</v>
      </c>
      <c r="B1" s="3"/>
      <c r="C1" s="3"/>
      <c r="D1" s="3"/>
      <c r="E1" s="4"/>
    </row>
    <row r="2" spans="1:5" ht="13" thickBot="1" x14ac:dyDescent="0.3">
      <c r="A2" s="5"/>
      <c r="B2" s="1"/>
      <c r="C2" s="1"/>
      <c r="D2" s="1" t="s">
        <v>226</v>
      </c>
      <c r="E2" s="6"/>
    </row>
    <row r="3" spans="1:5" ht="71.25" customHeight="1" thickBot="1" x14ac:dyDescent="0.3">
      <c r="A3" s="5"/>
      <c r="B3" s="18" t="s">
        <v>227</v>
      </c>
      <c r="C3" s="1"/>
      <c r="D3" s="12">
        <v>10</v>
      </c>
      <c r="E3" s="6"/>
    </row>
    <row r="4" spans="1:5" ht="21" customHeight="1" thickBot="1" x14ac:dyDescent="0.3">
      <c r="A4" s="5"/>
      <c r="B4" s="1" t="s">
        <v>3</v>
      </c>
      <c r="C4" s="1"/>
      <c r="D4" s="1" t="s">
        <v>5</v>
      </c>
      <c r="E4" s="6"/>
    </row>
    <row r="5" spans="1:5" ht="71.25" customHeight="1" thickBot="1" x14ac:dyDescent="0.3">
      <c r="A5" s="5"/>
      <c r="B5" s="10" t="s">
        <v>228</v>
      </c>
      <c r="C5" s="1"/>
      <c r="D5" s="13">
        <v>5</v>
      </c>
      <c r="E5" s="6"/>
    </row>
    <row r="6" spans="1:5" x14ac:dyDescent="0.25">
      <c r="A6" s="5"/>
      <c r="B6" s="1"/>
      <c r="C6" s="1"/>
      <c r="D6" s="1"/>
      <c r="E6" s="6"/>
    </row>
    <row r="7" spans="1:5" ht="13" thickBot="1" x14ac:dyDescent="0.3">
      <c r="A7" s="5"/>
      <c r="B7" s="1" t="s">
        <v>229</v>
      </c>
      <c r="C7" s="1"/>
      <c r="D7" s="1"/>
      <c r="E7" s="6"/>
    </row>
    <row r="8" spans="1:5" ht="75" customHeight="1" thickBot="1" x14ac:dyDescent="0.3">
      <c r="A8" s="5"/>
      <c r="B8" s="10" t="s">
        <v>230</v>
      </c>
      <c r="C8" s="1"/>
      <c r="D8" s="1"/>
      <c r="E8" s="6"/>
    </row>
    <row r="9" spans="1:5" ht="13" thickBot="1" x14ac:dyDescent="0.3">
      <c r="A9" s="7"/>
      <c r="B9" s="8"/>
      <c r="C9" s="8"/>
      <c r="D9" s="8"/>
      <c r="E9" s="9"/>
    </row>
    <row r="11" spans="1:5" ht="13" thickBot="1" x14ac:dyDescent="0.3"/>
    <row r="12" spans="1:5" x14ac:dyDescent="0.25">
      <c r="A12" s="2" t="s">
        <v>231</v>
      </c>
      <c r="B12" s="3"/>
      <c r="C12" s="3"/>
      <c r="D12" s="3"/>
      <c r="E12" s="4"/>
    </row>
    <row r="13" spans="1:5" ht="13" thickBot="1" x14ac:dyDescent="0.3">
      <c r="A13" s="5"/>
      <c r="B13" s="1"/>
      <c r="C13" s="1"/>
      <c r="D13" s="1" t="s">
        <v>226</v>
      </c>
      <c r="E13" s="6"/>
    </row>
    <row r="14" spans="1:5" ht="71.25" customHeight="1" thickBot="1" x14ac:dyDescent="0.3">
      <c r="A14" s="5"/>
      <c r="B14" s="18" t="s">
        <v>232</v>
      </c>
      <c r="C14" s="1"/>
      <c r="D14" s="12">
        <v>5</v>
      </c>
      <c r="E14" s="6"/>
    </row>
    <row r="15" spans="1:5" ht="21" customHeight="1" thickBot="1" x14ac:dyDescent="0.3">
      <c r="A15" s="5"/>
      <c r="B15" s="1" t="s">
        <v>3</v>
      </c>
      <c r="C15" s="1"/>
      <c r="D15" s="1" t="s">
        <v>5</v>
      </c>
      <c r="E15" s="6"/>
    </row>
    <row r="16" spans="1:5" ht="71.25" customHeight="1" thickBot="1" x14ac:dyDescent="0.3">
      <c r="A16" s="5"/>
      <c r="B16" s="10" t="s">
        <v>233</v>
      </c>
      <c r="C16" s="1"/>
      <c r="D16" s="13">
        <v>8</v>
      </c>
      <c r="E16" s="6"/>
    </row>
    <row r="17" spans="1:5" x14ac:dyDescent="0.25">
      <c r="A17" s="5"/>
      <c r="B17" s="1"/>
      <c r="C17" s="1"/>
      <c r="D17" s="1"/>
      <c r="E17" s="6"/>
    </row>
    <row r="18" spans="1:5" ht="13" thickBot="1" x14ac:dyDescent="0.3">
      <c r="A18" s="5"/>
      <c r="B18" s="1" t="s">
        <v>229</v>
      </c>
      <c r="C18" s="1"/>
      <c r="D18" s="1"/>
      <c r="E18" s="6"/>
    </row>
    <row r="19" spans="1:5" ht="75" customHeight="1" thickBot="1" x14ac:dyDescent="0.3">
      <c r="A19" s="5"/>
      <c r="B19" s="10" t="s">
        <v>234</v>
      </c>
      <c r="C19" s="1"/>
      <c r="D19" s="1"/>
      <c r="E19" s="6"/>
    </row>
    <row r="20" spans="1:5" ht="13" thickBot="1" x14ac:dyDescent="0.3">
      <c r="A20" s="7"/>
      <c r="B20" s="8"/>
      <c r="C20" s="8"/>
      <c r="D20" s="8"/>
      <c r="E20" s="9"/>
    </row>
    <row r="22" spans="1:5" ht="13" thickBot="1" x14ac:dyDescent="0.3"/>
    <row r="23" spans="1:5" x14ac:dyDescent="0.25">
      <c r="A23" s="2" t="s">
        <v>235</v>
      </c>
      <c r="B23" s="3"/>
      <c r="C23" s="3"/>
      <c r="D23" s="3"/>
      <c r="E23" s="4"/>
    </row>
    <row r="24" spans="1:5" ht="13" thickBot="1" x14ac:dyDescent="0.3">
      <c r="A24" s="5"/>
      <c r="B24" s="1"/>
      <c r="C24" s="1"/>
      <c r="D24" s="1" t="s">
        <v>226</v>
      </c>
      <c r="E24" s="6"/>
    </row>
    <row r="25" spans="1:5" ht="71.25" customHeight="1" thickBot="1" x14ac:dyDescent="0.3">
      <c r="A25" s="5"/>
      <c r="B25" s="18" t="s">
        <v>236</v>
      </c>
      <c r="C25" s="1"/>
      <c r="D25" s="12">
        <v>3</v>
      </c>
      <c r="E25" s="6"/>
    </row>
    <row r="26" spans="1:5" ht="21" customHeight="1" thickBot="1" x14ac:dyDescent="0.3">
      <c r="A26" s="5"/>
      <c r="B26" s="1" t="s">
        <v>3</v>
      </c>
      <c r="C26" s="1"/>
      <c r="D26" s="1" t="s">
        <v>5</v>
      </c>
      <c r="E26" s="6"/>
    </row>
    <row r="27" spans="1:5" ht="71.25" customHeight="1" thickBot="1" x14ac:dyDescent="0.3">
      <c r="A27" s="5"/>
      <c r="B27" s="10" t="s">
        <v>237</v>
      </c>
      <c r="C27" s="1"/>
      <c r="D27" s="13">
        <v>3</v>
      </c>
      <c r="E27" s="6"/>
    </row>
    <row r="28" spans="1:5" x14ac:dyDescent="0.25">
      <c r="A28" s="5"/>
      <c r="B28" s="1"/>
      <c r="C28" s="1"/>
      <c r="D28" s="1"/>
      <c r="E28" s="6"/>
    </row>
    <row r="29" spans="1:5" ht="13" thickBot="1" x14ac:dyDescent="0.3">
      <c r="A29" s="5"/>
      <c r="B29" s="1" t="s">
        <v>229</v>
      </c>
      <c r="C29" s="1"/>
      <c r="D29" s="1"/>
      <c r="E29" s="6"/>
    </row>
    <row r="30" spans="1:5" ht="75" customHeight="1" thickBot="1" x14ac:dyDescent="0.3">
      <c r="A30" s="5"/>
      <c r="B30" s="10" t="s">
        <v>238</v>
      </c>
      <c r="C30" s="1"/>
      <c r="D30" s="1"/>
      <c r="E30" s="6"/>
    </row>
    <row r="31" spans="1:5" ht="13" thickBot="1" x14ac:dyDescent="0.3">
      <c r="A31" s="7"/>
      <c r="B31" s="8"/>
      <c r="C31" s="8"/>
      <c r="D31" s="8"/>
      <c r="E31" s="9"/>
    </row>
  </sheetData>
  <pageMargins left="0.7" right="0.7" top="0.75" bottom="0.75" header="0.3" footer="0.3"/>
  <pageSetup paperSize="9" orientation="portrait" verticalDpi="300" r:id="rId1"/>
  <rowBreaks count="1" manualBreakCount="1">
    <brk id="22"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
  <sheetViews>
    <sheetView workbookViewId="0">
      <selection sqref="A1:IV10"/>
    </sheetView>
  </sheetViews>
  <sheetFormatPr defaultColWidth="9.1796875" defaultRowHeight="12.5" x14ac:dyDescent="0.25"/>
  <cols>
    <col min="1" max="1" width="3.54296875" customWidth="1"/>
    <col min="2" max="2" width="59" customWidth="1"/>
    <col min="3" max="3" width="3.1796875" customWidth="1"/>
    <col min="4" max="4" width="13.26953125" bestFit="1" customWidth="1"/>
    <col min="5" max="5" width="2" customWidth="1"/>
  </cols>
  <sheetData>
    <row r="1" spans="1:5" x14ac:dyDescent="0.25">
      <c r="A1" s="2" t="s">
        <v>239</v>
      </c>
      <c r="B1" s="3"/>
      <c r="C1" s="3"/>
      <c r="D1" s="3"/>
      <c r="E1" s="4"/>
    </row>
    <row r="2" spans="1:5" ht="13" thickBot="1" x14ac:dyDescent="0.3">
      <c r="A2" s="5"/>
      <c r="B2" s="1"/>
      <c r="C2" s="1"/>
      <c r="D2" s="1" t="s">
        <v>226</v>
      </c>
      <c r="E2" s="6"/>
    </row>
    <row r="3" spans="1:5" ht="71.25" customHeight="1" thickBot="1" x14ac:dyDescent="0.3">
      <c r="A3" s="5"/>
      <c r="B3" s="18" t="s">
        <v>240</v>
      </c>
      <c r="C3" s="1"/>
      <c r="D3" s="12">
        <v>0</v>
      </c>
      <c r="E3" s="6"/>
    </row>
    <row r="4" spans="1:5" ht="21" customHeight="1" thickBot="1" x14ac:dyDescent="0.3">
      <c r="A4" s="5"/>
      <c r="B4" s="1" t="s">
        <v>3</v>
      </c>
      <c r="C4" s="1"/>
      <c r="D4" s="1" t="s">
        <v>5</v>
      </c>
      <c r="E4" s="6"/>
    </row>
    <row r="5" spans="1:5" ht="71.25" customHeight="1" thickBot="1" x14ac:dyDescent="0.3">
      <c r="A5" s="5"/>
      <c r="B5" s="10" t="s">
        <v>241</v>
      </c>
      <c r="C5" s="1"/>
      <c r="D5" s="13">
        <v>0</v>
      </c>
      <c r="E5" s="6"/>
    </row>
    <row r="6" spans="1:5" x14ac:dyDescent="0.25">
      <c r="A6" s="5"/>
      <c r="B6" s="1"/>
      <c r="C6" s="1"/>
      <c r="D6" s="1"/>
      <c r="E6" s="6"/>
    </row>
    <row r="7" spans="1:5" ht="13" thickBot="1" x14ac:dyDescent="0.3">
      <c r="A7" s="5"/>
      <c r="B7" s="1" t="s">
        <v>229</v>
      </c>
      <c r="C7" s="1"/>
      <c r="D7" s="1"/>
      <c r="E7" s="6"/>
    </row>
    <row r="8" spans="1:5" ht="75" customHeight="1" thickBot="1" x14ac:dyDescent="0.3">
      <c r="A8" s="5"/>
      <c r="B8" s="10" t="s">
        <v>242</v>
      </c>
      <c r="C8" s="1"/>
      <c r="D8" s="1"/>
      <c r="E8" s="6"/>
    </row>
    <row r="9" spans="1:5" ht="13" thickBot="1" x14ac:dyDescent="0.3">
      <c r="A9" s="7"/>
      <c r="B9" s="8"/>
      <c r="C9" s="8"/>
      <c r="D9" s="8"/>
      <c r="E9" s="9"/>
    </row>
  </sheetData>
  <phoneticPr fontId="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D88"/>
  <sheetViews>
    <sheetView workbookViewId="0">
      <pane ySplit="14" topLeftCell="A15" activePane="bottomLeft" state="frozen"/>
      <selection pane="bottomLeft" activeCell="A18" sqref="A18:IV18"/>
    </sheetView>
  </sheetViews>
  <sheetFormatPr defaultColWidth="9.1796875" defaultRowHeight="12.5" x14ac:dyDescent="0.25"/>
  <cols>
    <col min="1" max="1" width="43.453125" style="25" customWidth="1"/>
    <col min="2" max="2" width="8.54296875" style="26" customWidth="1"/>
    <col min="3" max="3" width="13.7265625" style="25" customWidth="1"/>
    <col min="4" max="4" width="10.81640625" style="25" customWidth="1"/>
    <col min="5" max="5" width="9.1796875" style="26" customWidth="1"/>
    <col min="6" max="30" width="4.453125" style="26" customWidth="1"/>
    <col min="31" max="16384" width="9.1796875" style="25"/>
  </cols>
  <sheetData>
    <row r="1" spans="1:30" ht="17.5" x14ac:dyDescent="0.25">
      <c r="A1" s="41">
        <v>1</v>
      </c>
      <c r="B1" s="40"/>
      <c r="E1" s="25"/>
      <c r="F1" s="25"/>
      <c r="G1" s="25"/>
      <c r="H1" s="25"/>
      <c r="I1" s="25"/>
      <c r="J1" s="25"/>
      <c r="K1" s="25"/>
      <c r="L1" s="25"/>
      <c r="M1" s="25"/>
      <c r="N1" s="25"/>
      <c r="O1" s="25"/>
      <c r="P1" s="25"/>
      <c r="Q1" s="25"/>
      <c r="R1" s="25"/>
      <c r="S1" s="25"/>
      <c r="T1" s="25"/>
      <c r="U1" s="25"/>
      <c r="V1" s="25"/>
      <c r="W1" s="25"/>
      <c r="X1" s="25"/>
      <c r="Y1" s="25"/>
      <c r="Z1" s="25"/>
      <c r="AA1" s="25"/>
      <c r="AB1" s="25"/>
      <c r="AC1" s="25"/>
      <c r="AD1" s="25"/>
    </row>
    <row r="2" spans="1:30" ht="13" x14ac:dyDescent="0.25">
      <c r="A2" s="39" t="s">
        <v>243</v>
      </c>
      <c r="E2" s="25"/>
      <c r="F2" s="25"/>
      <c r="G2" s="25"/>
      <c r="H2" s="25"/>
      <c r="I2" s="25"/>
      <c r="J2" s="25"/>
      <c r="K2" s="25"/>
      <c r="L2" s="25"/>
      <c r="M2" s="25"/>
      <c r="N2" s="25"/>
      <c r="O2" s="25"/>
      <c r="P2" s="25"/>
      <c r="Q2" s="25"/>
      <c r="R2" s="25"/>
      <c r="S2" s="25"/>
      <c r="T2" s="25"/>
      <c r="U2" s="25"/>
      <c r="V2" s="25"/>
      <c r="W2" s="25"/>
      <c r="X2" s="25"/>
      <c r="Y2" s="25"/>
      <c r="Z2" s="25"/>
      <c r="AA2" s="25"/>
      <c r="AB2" s="25"/>
      <c r="AC2" s="25"/>
      <c r="AD2" s="25"/>
    </row>
    <row r="4" spans="1:30" x14ac:dyDescent="0.25">
      <c r="A4" s="38" t="s">
        <v>244</v>
      </c>
    </row>
    <row r="5" spans="1:30" x14ac:dyDescent="0.25">
      <c r="A5" s="38" t="s">
        <v>245</v>
      </c>
    </row>
    <row r="9" spans="1:30" ht="13" x14ac:dyDescent="0.25">
      <c r="A9" s="33" t="s">
        <v>246</v>
      </c>
      <c r="B9" s="36">
        <v>5</v>
      </c>
      <c r="C9" s="33"/>
      <c r="D9" s="37"/>
      <c r="E9" s="33" t="s">
        <v>247</v>
      </c>
      <c r="F9" s="33" t="s">
        <v>248</v>
      </c>
      <c r="G9" s="33"/>
      <c r="H9" s="33"/>
      <c r="I9" s="33"/>
      <c r="J9" s="33"/>
      <c r="K9" s="33"/>
      <c r="L9" s="33"/>
      <c r="M9" s="37"/>
      <c r="N9" s="37"/>
      <c r="O9" s="37"/>
      <c r="P9" s="37"/>
      <c r="Q9" s="37"/>
      <c r="R9" s="37"/>
      <c r="S9" s="37"/>
      <c r="T9" s="37"/>
      <c r="U9" s="37"/>
      <c r="V9" s="37"/>
      <c r="W9" s="37"/>
      <c r="X9" s="37"/>
      <c r="Y9" s="37"/>
      <c r="Z9" s="37"/>
      <c r="AA9" s="37"/>
      <c r="AB9" s="37"/>
      <c r="AC9" s="37"/>
      <c r="AD9" s="37"/>
    </row>
    <row r="10" spans="1:30" ht="13" x14ac:dyDescent="0.25">
      <c r="A10" s="33" t="s">
        <v>249</v>
      </c>
      <c r="B10" s="36">
        <v>5</v>
      </c>
      <c r="C10" s="33"/>
      <c r="D10" s="33" t="s">
        <v>250</v>
      </c>
      <c r="E10" s="35">
        <f ca="1">SUM(OFFSET(E14,1,0,TaskRows,1))</f>
        <v>65</v>
      </c>
      <c r="F10" s="35">
        <f ca="1">IF(AND(SUM(OFFSET(F14,1,0,TaskRows,1))=0),0,SUM(OFFSET(F14,1,0,TaskRows,1)))</f>
        <v>0</v>
      </c>
      <c r="G10" s="35" t="str">
        <f t="shared" ref="G10:AD10" ca="1" si="0">IF(AND(SUM(OFFSET(G14,1,0,TaskRows,1))=0),"",SUM(OFFSET(G14,1,0,TaskRows,1)))</f>
        <v/>
      </c>
      <c r="H10" s="35" t="str">
        <f t="shared" ca="1" si="0"/>
        <v/>
      </c>
      <c r="I10" s="35" t="str">
        <f t="shared" ca="1" si="0"/>
        <v/>
      </c>
      <c r="J10" s="35" t="str">
        <f t="shared" ca="1" si="0"/>
        <v/>
      </c>
      <c r="K10" s="35" t="str">
        <f t="shared" ca="1" si="0"/>
        <v/>
      </c>
      <c r="L10" s="35" t="str">
        <f t="shared" ca="1" si="0"/>
        <v/>
      </c>
      <c r="M10" s="35" t="str">
        <f t="shared" ca="1" si="0"/>
        <v/>
      </c>
      <c r="N10" s="35" t="str">
        <f t="shared" ca="1" si="0"/>
        <v/>
      </c>
      <c r="O10" s="35" t="str">
        <f t="shared" ca="1" si="0"/>
        <v/>
      </c>
      <c r="P10" s="35" t="str">
        <f t="shared" ca="1" si="0"/>
        <v/>
      </c>
      <c r="Q10" s="35" t="str">
        <f t="shared" ca="1" si="0"/>
        <v/>
      </c>
      <c r="R10" s="35" t="str">
        <f t="shared" ca="1" si="0"/>
        <v/>
      </c>
      <c r="S10" s="35" t="str">
        <f t="shared" ca="1" si="0"/>
        <v/>
      </c>
      <c r="T10" s="35" t="str">
        <f t="shared" ca="1" si="0"/>
        <v/>
      </c>
      <c r="U10" s="35" t="str">
        <f t="shared" ca="1" si="0"/>
        <v/>
      </c>
      <c r="V10" s="35" t="str">
        <f t="shared" ca="1" si="0"/>
        <v/>
      </c>
      <c r="W10" s="35" t="str">
        <f t="shared" ca="1" si="0"/>
        <v/>
      </c>
      <c r="X10" s="35" t="str">
        <f t="shared" ca="1" si="0"/>
        <v/>
      </c>
      <c r="Y10" s="35" t="str">
        <f t="shared" ca="1" si="0"/>
        <v/>
      </c>
      <c r="Z10" s="35" t="str">
        <f t="shared" ca="1" si="0"/>
        <v/>
      </c>
      <c r="AA10" s="35" t="str">
        <f t="shared" ca="1" si="0"/>
        <v/>
      </c>
      <c r="AB10" s="35" t="str">
        <f t="shared" ca="1" si="0"/>
        <v/>
      </c>
      <c r="AC10" s="35" t="str">
        <f t="shared" ca="1" si="0"/>
        <v/>
      </c>
      <c r="AD10" s="35" t="str">
        <f t="shared" ca="1" si="0"/>
        <v/>
      </c>
    </row>
    <row r="11" spans="1:30" customFormat="1" hidden="1" x14ac:dyDescent="0.25">
      <c r="A11" t="s">
        <v>251</v>
      </c>
      <c r="B11" s="28">
        <f>IF(COUNTA(A15:A243)=0,1,COUNTA(A15:A243))</f>
        <v>11</v>
      </c>
      <c r="C11" t="s">
        <v>252</v>
      </c>
      <c r="D11" s="28">
        <f ca="1">IF(COUNTIF(F10:AD10,"&gt;0")=0,1,COUNTIF(F10:AD10,"&gt;0"))</f>
        <v>1</v>
      </c>
      <c r="E11" s="28"/>
      <c r="F11" s="28">
        <f ca="1">IF(F14="","",$E10-$E10/($B9-1)*(F14-1))</f>
        <v>65</v>
      </c>
      <c r="G11" s="28">
        <f t="shared" ref="G11:AD11" ca="1" si="1">IF(G14="","",TotalEffort-TotalEffort/(ImplementationDays)*(G14-1))</f>
        <v>52</v>
      </c>
      <c r="H11" s="28">
        <f t="shared" ca="1" si="1"/>
        <v>39</v>
      </c>
      <c r="I11" s="28">
        <f t="shared" ca="1" si="1"/>
        <v>26</v>
      </c>
      <c r="J11" s="28">
        <f t="shared" ca="1" si="1"/>
        <v>13</v>
      </c>
      <c r="K11" s="28" t="str">
        <f t="shared" si="1"/>
        <v/>
      </c>
      <c r="L11" s="28" t="str">
        <f t="shared" si="1"/>
        <v/>
      </c>
      <c r="M11" s="28" t="str">
        <f t="shared" si="1"/>
        <v/>
      </c>
      <c r="N11" s="28" t="str">
        <f t="shared" si="1"/>
        <v/>
      </c>
      <c r="O11" s="28" t="str">
        <f t="shared" si="1"/>
        <v/>
      </c>
      <c r="P11" s="28" t="str">
        <f t="shared" si="1"/>
        <v/>
      </c>
      <c r="Q11" s="28" t="str">
        <f t="shared" si="1"/>
        <v/>
      </c>
      <c r="R11" s="28" t="str">
        <f t="shared" si="1"/>
        <v/>
      </c>
      <c r="S11" s="28" t="str">
        <f t="shared" si="1"/>
        <v/>
      </c>
      <c r="T11" s="28" t="str">
        <f t="shared" si="1"/>
        <v/>
      </c>
      <c r="U11" s="28" t="str">
        <f t="shared" si="1"/>
        <v/>
      </c>
      <c r="V11" s="28" t="str">
        <f t="shared" si="1"/>
        <v/>
      </c>
      <c r="W11" s="28" t="str">
        <f t="shared" si="1"/>
        <v/>
      </c>
      <c r="X11" s="28" t="str">
        <f t="shared" si="1"/>
        <v/>
      </c>
      <c r="Y11" s="28" t="str">
        <f t="shared" si="1"/>
        <v/>
      </c>
      <c r="Z11" s="28" t="str">
        <f t="shared" si="1"/>
        <v/>
      </c>
      <c r="AA11" s="28" t="str">
        <f t="shared" si="1"/>
        <v/>
      </c>
      <c r="AB11" s="28" t="str">
        <f t="shared" si="1"/>
        <v/>
      </c>
      <c r="AC11" s="28" t="str">
        <f t="shared" si="1"/>
        <v/>
      </c>
      <c r="AD11" s="28" t="str">
        <f t="shared" si="1"/>
        <v/>
      </c>
    </row>
    <row r="12" spans="1:30" customFormat="1" ht="13" hidden="1" x14ac:dyDescent="0.3">
      <c r="A12" s="34" t="s">
        <v>253</v>
      </c>
      <c r="C12" t="s">
        <v>254</v>
      </c>
      <c r="D12" s="28"/>
      <c r="E12" s="28"/>
      <c r="F12" s="28">
        <f t="shared" ref="F12:AD12" ca="1" si="2">IF(TREND(OFFSET($F10,0,DoneDays-TrendDays,1,TrendDays),OFFSET($F13,0,DoneDays-TrendDays,1,TrendDays),F13)&lt;0,"",TREND(OFFSET($F10,0,DoneDays-TrendDays,1,TrendDays),OFFSET($F13,0,DoneDays-TrendDays,1,TrendDays),F13))</f>
        <v>0</v>
      </c>
      <c r="G12" s="28">
        <f t="shared" ca="1" si="2"/>
        <v>0</v>
      </c>
      <c r="H12" s="28">
        <f t="shared" ca="1" si="2"/>
        <v>0</v>
      </c>
      <c r="I12" s="28">
        <f t="shared" ca="1" si="2"/>
        <v>0</v>
      </c>
      <c r="J12" s="28">
        <f t="shared" ca="1" si="2"/>
        <v>0</v>
      </c>
      <c r="K12" s="28">
        <f t="shared" ca="1" si="2"/>
        <v>0</v>
      </c>
      <c r="L12" s="28">
        <f t="shared" ca="1" si="2"/>
        <v>0</v>
      </c>
      <c r="M12" s="28">
        <f t="shared" ca="1" si="2"/>
        <v>0</v>
      </c>
      <c r="N12" s="28">
        <f t="shared" ca="1" si="2"/>
        <v>0</v>
      </c>
      <c r="O12" s="28">
        <f t="shared" ca="1" si="2"/>
        <v>0</v>
      </c>
      <c r="P12" s="28">
        <f t="shared" ca="1" si="2"/>
        <v>0</v>
      </c>
      <c r="Q12" s="28">
        <f t="shared" ca="1" si="2"/>
        <v>0</v>
      </c>
      <c r="R12" s="28">
        <f t="shared" ca="1" si="2"/>
        <v>0</v>
      </c>
      <c r="S12" s="28">
        <f t="shared" ca="1" si="2"/>
        <v>0</v>
      </c>
      <c r="T12" s="28">
        <f t="shared" ca="1" si="2"/>
        <v>0</v>
      </c>
      <c r="U12" s="28">
        <f t="shared" ca="1" si="2"/>
        <v>0</v>
      </c>
      <c r="V12" s="28">
        <f t="shared" ca="1" si="2"/>
        <v>0</v>
      </c>
      <c r="W12" s="28">
        <f t="shared" ca="1" si="2"/>
        <v>0</v>
      </c>
      <c r="X12" s="28">
        <f t="shared" ca="1" si="2"/>
        <v>0</v>
      </c>
      <c r="Y12" s="28">
        <f t="shared" ca="1" si="2"/>
        <v>0</v>
      </c>
      <c r="Z12" s="28">
        <f t="shared" ca="1" si="2"/>
        <v>0</v>
      </c>
      <c r="AA12" s="28">
        <f t="shared" ca="1" si="2"/>
        <v>0</v>
      </c>
      <c r="AB12" s="28">
        <f t="shared" ca="1" si="2"/>
        <v>0</v>
      </c>
      <c r="AC12" s="28">
        <f t="shared" ca="1" si="2"/>
        <v>0</v>
      </c>
      <c r="AD12" s="28">
        <f t="shared" ca="1" si="2"/>
        <v>0</v>
      </c>
    </row>
    <row r="13" spans="1:30" customFormat="1" ht="13" hidden="1" x14ac:dyDescent="0.3">
      <c r="A13" s="34" t="s">
        <v>255</v>
      </c>
      <c r="C13" t="s">
        <v>256</v>
      </c>
      <c r="D13" s="28">
        <f ca="1">IF(DoneDays&gt;B10,B10,DoneDays)</f>
        <v>1</v>
      </c>
      <c r="E13" s="28"/>
      <c r="F13" s="28">
        <f ca="1">IF(DoneDays&gt;E13,E13+1,"")</f>
        <v>1</v>
      </c>
      <c r="G13" s="28">
        <v>2</v>
      </c>
      <c r="H13" s="28">
        <v>3</v>
      </c>
      <c r="I13" s="28">
        <v>4</v>
      </c>
      <c r="J13" s="28">
        <v>5</v>
      </c>
      <c r="K13" s="28">
        <v>6</v>
      </c>
      <c r="L13" s="28">
        <v>7</v>
      </c>
      <c r="M13" s="28">
        <v>8</v>
      </c>
      <c r="N13" s="28">
        <v>9</v>
      </c>
      <c r="O13" s="28">
        <v>10</v>
      </c>
      <c r="P13" s="28">
        <v>11</v>
      </c>
      <c r="Q13" s="28">
        <v>12</v>
      </c>
      <c r="R13" s="28">
        <v>13</v>
      </c>
      <c r="S13" s="28">
        <v>14</v>
      </c>
      <c r="T13" s="28">
        <v>15</v>
      </c>
      <c r="U13" s="28">
        <v>16</v>
      </c>
      <c r="V13" s="28">
        <v>17</v>
      </c>
      <c r="W13" s="28">
        <v>18</v>
      </c>
      <c r="X13" s="28">
        <v>19</v>
      </c>
      <c r="Y13" s="28">
        <v>20</v>
      </c>
      <c r="Z13" s="28">
        <v>21</v>
      </c>
      <c r="AA13" s="28">
        <v>22</v>
      </c>
      <c r="AB13" s="28">
        <v>23</v>
      </c>
      <c r="AC13" s="28">
        <v>24</v>
      </c>
      <c r="AD13" s="28">
        <v>25</v>
      </c>
    </row>
    <row r="14" spans="1:30" ht="13" x14ac:dyDescent="0.25">
      <c r="A14" s="33" t="s">
        <v>257</v>
      </c>
      <c r="B14" s="32" t="s">
        <v>258</v>
      </c>
      <c r="C14" s="33" t="s">
        <v>259</v>
      </c>
      <c r="D14" s="33" t="s">
        <v>260</v>
      </c>
      <c r="E14" s="32" t="s">
        <v>261</v>
      </c>
      <c r="F14" s="32">
        <v>1</v>
      </c>
      <c r="G14" s="32">
        <f t="shared" ref="G14:AD14" si="3">IF($B$9&gt;F14,F14+1,"")</f>
        <v>2</v>
      </c>
      <c r="H14" s="32">
        <f t="shared" si="3"/>
        <v>3</v>
      </c>
      <c r="I14" s="32">
        <f t="shared" si="3"/>
        <v>4</v>
      </c>
      <c r="J14" s="32">
        <f t="shared" si="3"/>
        <v>5</v>
      </c>
      <c r="K14" s="32" t="str">
        <f t="shared" si="3"/>
        <v/>
      </c>
      <c r="L14" s="32" t="str">
        <f t="shared" si="3"/>
        <v/>
      </c>
      <c r="M14" s="32" t="str">
        <f t="shared" si="3"/>
        <v/>
      </c>
      <c r="N14" s="32" t="str">
        <f t="shared" si="3"/>
        <v/>
      </c>
      <c r="O14" s="32" t="str">
        <f t="shared" si="3"/>
        <v/>
      </c>
      <c r="P14" s="32" t="str">
        <f t="shared" si="3"/>
        <v/>
      </c>
      <c r="Q14" s="32" t="str">
        <f t="shared" si="3"/>
        <v/>
      </c>
      <c r="R14" s="32" t="str">
        <f t="shared" si="3"/>
        <v/>
      </c>
      <c r="S14" s="32" t="str">
        <f t="shared" si="3"/>
        <v/>
      </c>
      <c r="T14" s="32" t="str">
        <f t="shared" si="3"/>
        <v/>
      </c>
      <c r="U14" s="32" t="str">
        <f t="shared" si="3"/>
        <v/>
      </c>
      <c r="V14" s="32" t="str">
        <f t="shared" si="3"/>
        <v/>
      </c>
      <c r="W14" s="32" t="str">
        <f t="shared" si="3"/>
        <v/>
      </c>
      <c r="X14" s="32" t="str">
        <f t="shared" si="3"/>
        <v/>
      </c>
      <c r="Y14" s="32" t="str">
        <f t="shared" si="3"/>
        <v/>
      </c>
      <c r="Z14" s="32" t="str">
        <f t="shared" si="3"/>
        <v/>
      </c>
      <c r="AA14" s="32" t="str">
        <f t="shared" si="3"/>
        <v/>
      </c>
      <c r="AB14" s="32" t="str">
        <f t="shared" si="3"/>
        <v/>
      </c>
      <c r="AC14" s="32" t="str">
        <f t="shared" si="3"/>
        <v/>
      </c>
      <c r="AD14" s="32" t="str">
        <f t="shared" si="3"/>
        <v/>
      </c>
    </row>
    <row r="15" spans="1:30" x14ac:dyDescent="0.25">
      <c r="A15" t="s">
        <v>262</v>
      </c>
      <c r="B15" s="28">
        <v>1</v>
      </c>
      <c r="C15" s="28">
        <v>8</v>
      </c>
      <c r="D15" t="s">
        <v>263</v>
      </c>
      <c r="E15" s="28">
        <v>8</v>
      </c>
      <c r="F15" s="28"/>
      <c r="G15" s="28"/>
      <c r="H15" s="28"/>
      <c r="I15" s="28"/>
    </row>
    <row r="16" spans="1:30" x14ac:dyDescent="0.25">
      <c r="A16" s="30" t="s">
        <v>167</v>
      </c>
      <c r="B16" s="28">
        <v>2</v>
      </c>
      <c r="C16" s="28">
        <v>8</v>
      </c>
      <c r="D16" t="s">
        <v>263</v>
      </c>
      <c r="E16" s="28">
        <v>8</v>
      </c>
      <c r="F16" s="28"/>
      <c r="G16" s="28"/>
      <c r="H16" s="28"/>
      <c r="I16" s="28"/>
    </row>
    <row r="17" spans="1:30" x14ac:dyDescent="0.25">
      <c r="A17" s="31" t="s">
        <v>264</v>
      </c>
      <c r="B17" s="26">
        <v>3</v>
      </c>
      <c r="C17" s="26">
        <v>5</v>
      </c>
      <c r="D17" s="25" t="s">
        <v>263</v>
      </c>
      <c r="E17" s="26">
        <v>5</v>
      </c>
      <c r="AC17" s="26" t="str">
        <f>IF(OR(AC$14="",$E17=""),"",AB17)</f>
        <v/>
      </c>
      <c r="AD17" s="26" t="str">
        <f>IF(OR(AD$14="",$E17=""),"",AC17)</f>
        <v/>
      </c>
    </row>
    <row r="18" spans="1:30" x14ac:dyDescent="0.25">
      <c r="A18" s="30" t="s">
        <v>186</v>
      </c>
      <c r="B18" s="28">
        <v>4</v>
      </c>
      <c r="C18" s="28">
        <v>5</v>
      </c>
      <c r="D18" t="s">
        <v>263</v>
      </c>
      <c r="E18" s="28">
        <v>5</v>
      </c>
      <c r="F18" s="28"/>
      <c r="G18" s="28"/>
      <c r="H18" s="28"/>
      <c r="I18" s="28"/>
      <c r="AC18" s="26" t="str">
        <f>IF(OR(AC$14="",$E18=""),"",AB18)</f>
        <v/>
      </c>
      <c r="AD18" s="26" t="str">
        <f>IF(OR(AD$14="",$E18=""),"",AC18)</f>
        <v/>
      </c>
    </row>
    <row r="19" spans="1:30" x14ac:dyDescent="0.25">
      <c r="A19" s="30" t="s">
        <v>189</v>
      </c>
      <c r="B19" s="28">
        <v>5</v>
      </c>
      <c r="C19" s="28">
        <v>3</v>
      </c>
      <c r="D19" t="s">
        <v>263</v>
      </c>
      <c r="E19" s="28">
        <v>3</v>
      </c>
      <c r="F19" s="28"/>
      <c r="G19" s="28"/>
      <c r="H19" s="28"/>
      <c r="I19" s="28"/>
    </row>
    <row r="20" spans="1:30" x14ac:dyDescent="0.25">
      <c r="A20" s="19" t="s">
        <v>265</v>
      </c>
      <c r="B20" s="26">
        <v>6</v>
      </c>
      <c r="C20" s="26">
        <v>8</v>
      </c>
      <c r="D20" t="s">
        <v>263</v>
      </c>
      <c r="E20" s="26">
        <v>8</v>
      </c>
      <c r="I20" s="29"/>
      <c r="AC20" s="26" t="str">
        <f t="shared" ref="AC20:AD48" si="4">IF(OR(AC$14="",$E20=""),"",AB20)</f>
        <v/>
      </c>
      <c r="AD20" s="26" t="str">
        <f t="shared" si="4"/>
        <v/>
      </c>
    </row>
    <row r="21" spans="1:30" x14ac:dyDescent="0.25">
      <c r="A21" s="19" t="s">
        <v>266</v>
      </c>
      <c r="B21" s="28">
        <v>7</v>
      </c>
      <c r="C21" s="26">
        <v>5</v>
      </c>
      <c r="D21" t="s">
        <v>263</v>
      </c>
      <c r="E21" s="26">
        <v>5</v>
      </c>
      <c r="I21" s="29"/>
      <c r="AC21" s="26" t="str">
        <f t="shared" si="4"/>
        <v/>
      </c>
      <c r="AD21" s="26" t="str">
        <f t="shared" si="4"/>
        <v/>
      </c>
    </row>
    <row r="22" spans="1:30" x14ac:dyDescent="0.25">
      <c r="A22" s="19" t="s">
        <v>267</v>
      </c>
      <c r="B22" s="28">
        <v>8</v>
      </c>
      <c r="C22" s="26">
        <v>5</v>
      </c>
      <c r="D22" t="s">
        <v>263</v>
      </c>
      <c r="E22" s="26">
        <v>5</v>
      </c>
      <c r="I22" s="29"/>
      <c r="AC22" s="26" t="str">
        <f t="shared" si="4"/>
        <v/>
      </c>
      <c r="AD22" s="26" t="str">
        <f t="shared" si="4"/>
        <v/>
      </c>
    </row>
    <row r="23" spans="1:30" x14ac:dyDescent="0.25">
      <c r="A23" s="19" t="s">
        <v>268</v>
      </c>
      <c r="B23" s="26">
        <v>9</v>
      </c>
      <c r="C23" s="26">
        <v>8</v>
      </c>
      <c r="D23" t="s">
        <v>263</v>
      </c>
      <c r="E23" s="26">
        <v>8</v>
      </c>
      <c r="AC23" s="26" t="str">
        <f t="shared" si="4"/>
        <v/>
      </c>
      <c r="AD23" s="26" t="str">
        <f t="shared" si="4"/>
        <v/>
      </c>
    </row>
    <row r="24" spans="1:30" x14ac:dyDescent="0.25">
      <c r="A24" s="19" t="s">
        <v>269</v>
      </c>
      <c r="B24" s="28">
        <v>10</v>
      </c>
      <c r="C24" s="26">
        <v>5</v>
      </c>
      <c r="D24" t="s">
        <v>263</v>
      </c>
      <c r="E24" s="26">
        <v>5</v>
      </c>
      <c r="AC24" s="26" t="str">
        <f t="shared" si="4"/>
        <v/>
      </c>
      <c r="AD24" s="26" t="str">
        <f t="shared" si="4"/>
        <v/>
      </c>
    </row>
    <row r="25" spans="1:30" ht="15" customHeight="1" x14ac:dyDescent="0.25">
      <c r="A25" s="19" t="s">
        <v>270</v>
      </c>
      <c r="B25" s="28">
        <v>11</v>
      </c>
      <c r="C25" s="26">
        <v>5</v>
      </c>
      <c r="D25" t="s">
        <v>263</v>
      </c>
      <c r="E25" s="26">
        <v>5</v>
      </c>
      <c r="AC25" s="26" t="str">
        <f t="shared" si="4"/>
        <v/>
      </c>
      <c r="AD25" s="26" t="str">
        <f t="shared" si="4"/>
        <v/>
      </c>
    </row>
    <row r="26" spans="1:30" x14ac:dyDescent="0.25">
      <c r="C26" s="28"/>
      <c r="D26" s="25" t="str">
        <f t="shared" ref="D26:D46" si="5">IF(A26&lt;&gt;"","Planned","")</f>
        <v/>
      </c>
      <c r="F26" s="26" t="str">
        <f t="shared" ref="F26:F46" si="6">IF(OR(F$14="",$E26=""),"",E26)</f>
        <v/>
      </c>
      <c r="AC26" s="26" t="str">
        <f t="shared" si="4"/>
        <v/>
      </c>
      <c r="AD26" s="26" t="str">
        <f t="shared" si="4"/>
        <v/>
      </c>
    </row>
    <row r="27" spans="1:30" x14ac:dyDescent="0.25">
      <c r="C27" s="28"/>
      <c r="D27" s="25" t="str">
        <f t="shared" si="5"/>
        <v/>
      </c>
      <c r="F27" s="26" t="str">
        <f t="shared" si="6"/>
        <v/>
      </c>
      <c r="AC27" s="26" t="str">
        <f t="shared" si="4"/>
        <v/>
      </c>
      <c r="AD27" s="26" t="str">
        <f t="shared" si="4"/>
        <v/>
      </c>
    </row>
    <row r="28" spans="1:30" x14ac:dyDescent="0.25">
      <c r="C28" s="28"/>
      <c r="D28" s="25" t="str">
        <f t="shared" si="5"/>
        <v/>
      </c>
      <c r="F28" s="26" t="str">
        <f t="shared" si="6"/>
        <v/>
      </c>
      <c r="AC28" s="26" t="str">
        <f t="shared" si="4"/>
        <v/>
      </c>
      <c r="AD28" s="26" t="str">
        <f t="shared" si="4"/>
        <v/>
      </c>
    </row>
    <row r="29" spans="1:30" x14ac:dyDescent="0.25">
      <c r="C29" s="28"/>
      <c r="D29" s="25" t="str">
        <f t="shared" si="5"/>
        <v/>
      </c>
      <c r="F29" s="26" t="str">
        <f t="shared" si="6"/>
        <v/>
      </c>
      <c r="AC29" s="26" t="str">
        <f t="shared" si="4"/>
        <v/>
      </c>
      <c r="AD29" s="26" t="str">
        <f t="shared" si="4"/>
        <v/>
      </c>
    </row>
    <row r="30" spans="1:30" x14ac:dyDescent="0.25">
      <c r="C30" s="28"/>
      <c r="D30" s="25" t="str">
        <f t="shared" si="5"/>
        <v/>
      </c>
      <c r="F30" s="26" t="str">
        <f t="shared" si="6"/>
        <v/>
      </c>
      <c r="AC30" s="26" t="str">
        <f t="shared" si="4"/>
        <v/>
      </c>
      <c r="AD30" s="26" t="str">
        <f t="shared" si="4"/>
        <v/>
      </c>
    </row>
    <row r="31" spans="1:30" x14ac:dyDescent="0.25">
      <c r="C31" s="28"/>
      <c r="D31" s="25" t="str">
        <f t="shared" si="5"/>
        <v/>
      </c>
      <c r="F31" s="26" t="str">
        <f t="shared" si="6"/>
        <v/>
      </c>
      <c r="AC31" s="26" t="str">
        <f t="shared" si="4"/>
        <v/>
      </c>
      <c r="AD31" s="26" t="str">
        <f t="shared" si="4"/>
        <v/>
      </c>
    </row>
    <row r="32" spans="1:30" x14ac:dyDescent="0.25">
      <c r="C32"/>
      <c r="D32" s="25" t="str">
        <f t="shared" si="5"/>
        <v/>
      </c>
      <c r="F32" s="26" t="str">
        <f t="shared" si="6"/>
        <v/>
      </c>
      <c r="AC32" s="26" t="str">
        <f t="shared" si="4"/>
        <v/>
      </c>
      <c r="AD32" s="26" t="str">
        <f t="shared" si="4"/>
        <v/>
      </c>
    </row>
    <row r="33" spans="1:30" x14ac:dyDescent="0.25">
      <c r="C33"/>
      <c r="D33" s="25" t="str">
        <f t="shared" si="5"/>
        <v/>
      </c>
      <c r="F33" s="26" t="str">
        <f t="shared" si="6"/>
        <v/>
      </c>
      <c r="AC33" s="26" t="str">
        <f t="shared" si="4"/>
        <v/>
      </c>
      <c r="AD33" s="26" t="str">
        <f t="shared" si="4"/>
        <v/>
      </c>
    </row>
    <row r="34" spans="1:30" x14ac:dyDescent="0.25">
      <c r="C34"/>
      <c r="D34" s="25" t="str">
        <f t="shared" si="5"/>
        <v/>
      </c>
      <c r="F34" s="26" t="str">
        <f t="shared" si="6"/>
        <v/>
      </c>
      <c r="AC34" s="26" t="str">
        <f t="shared" si="4"/>
        <v/>
      </c>
      <c r="AD34" s="26" t="str">
        <f t="shared" si="4"/>
        <v/>
      </c>
    </row>
    <row r="35" spans="1:30" x14ac:dyDescent="0.25">
      <c r="C35"/>
      <c r="D35" s="25" t="str">
        <f t="shared" si="5"/>
        <v/>
      </c>
      <c r="F35" s="26" t="str">
        <f t="shared" si="6"/>
        <v/>
      </c>
      <c r="AC35" s="26" t="str">
        <f t="shared" si="4"/>
        <v/>
      </c>
      <c r="AD35" s="26" t="str">
        <f t="shared" si="4"/>
        <v/>
      </c>
    </row>
    <row r="36" spans="1:30" x14ac:dyDescent="0.25">
      <c r="C36"/>
      <c r="D36" s="25" t="str">
        <f t="shared" si="5"/>
        <v/>
      </c>
      <c r="F36" s="26" t="str">
        <f t="shared" si="6"/>
        <v/>
      </c>
      <c r="AC36" s="26" t="str">
        <f t="shared" si="4"/>
        <v/>
      </c>
      <c r="AD36" s="26" t="str">
        <f t="shared" si="4"/>
        <v/>
      </c>
    </row>
    <row r="37" spans="1:30" x14ac:dyDescent="0.25">
      <c r="C37"/>
      <c r="D37" s="25" t="str">
        <f t="shared" si="5"/>
        <v/>
      </c>
      <c r="F37" s="26" t="str">
        <f t="shared" si="6"/>
        <v/>
      </c>
      <c r="AC37" s="26" t="str">
        <f t="shared" si="4"/>
        <v/>
      </c>
      <c r="AD37" s="26" t="str">
        <f t="shared" si="4"/>
        <v/>
      </c>
    </row>
    <row r="38" spans="1:30" x14ac:dyDescent="0.25">
      <c r="C38"/>
      <c r="D38" s="25" t="str">
        <f t="shared" si="5"/>
        <v/>
      </c>
      <c r="F38" s="26" t="str">
        <f t="shared" si="6"/>
        <v/>
      </c>
      <c r="AC38" s="26" t="str">
        <f t="shared" si="4"/>
        <v/>
      </c>
      <c r="AD38" s="26" t="str">
        <f t="shared" si="4"/>
        <v/>
      </c>
    </row>
    <row r="39" spans="1:30" x14ac:dyDescent="0.25">
      <c r="C39"/>
      <c r="D39" s="25" t="str">
        <f t="shared" si="5"/>
        <v/>
      </c>
      <c r="F39" s="26" t="str">
        <f t="shared" si="6"/>
        <v/>
      </c>
      <c r="AC39" s="26" t="str">
        <f t="shared" si="4"/>
        <v/>
      </c>
      <c r="AD39" s="26" t="str">
        <f t="shared" si="4"/>
        <v/>
      </c>
    </row>
    <row r="40" spans="1:30" x14ac:dyDescent="0.25">
      <c r="C40"/>
      <c r="D40" s="25" t="str">
        <f t="shared" si="5"/>
        <v/>
      </c>
      <c r="F40" s="26" t="str">
        <f t="shared" si="6"/>
        <v/>
      </c>
      <c r="AC40" s="26" t="str">
        <f t="shared" si="4"/>
        <v/>
      </c>
      <c r="AD40" s="26" t="str">
        <f t="shared" si="4"/>
        <v/>
      </c>
    </row>
    <row r="41" spans="1:30" x14ac:dyDescent="0.25">
      <c r="C41"/>
      <c r="D41" s="25" t="str">
        <f t="shared" si="5"/>
        <v/>
      </c>
      <c r="F41" s="26" t="str">
        <f t="shared" si="6"/>
        <v/>
      </c>
      <c r="AC41" s="26" t="str">
        <f t="shared" si="4"/>
        <v/>
      </c>
      <c r="AD41" s="26" t="str">
        <f t="shared" si="4"/>
        <v/>
      </c>
    </row>
    <row r="42" spans="1:30" x14ac:dyDescent="0.25">
      <c r="C42"/>
      <c r="D42" s="25" t="str">
        <f t="shared" si="5"/>
        <v/>
      </c>
      <c r="F42" s="26" t="str">
        <f t="shared" si="6"/>
        <v/>
      </c>
      <c r="AC42" s="26" t="str">
        <f t="shared" si="4"/>
        <v/>
      </c>
      <c r="AD42" s="26" t="str">
        <f t="shared" si="4"/>
        <v/>
      </c>
    </row>
    <row r="43" spans="1:30" x14ac:dyDescent="0.25">
      <c r="C43"/>
      <c r="D43" s="25" t="str">
        <f t="shared" si="5"/>
        <v/>
      </c>
      <c r="F43" s="26" t="str">
        <f t="shared" si="6"/>
        <v/>
      </c>
      <c r="AC43" s="26" t="str">
        <f t="shared" si="4"/>
        <v/>
      </c>
      <c r="AD43" s="26" t="str">
        <f t="shared" si="4"/>
        <v/>
      </c>
    </row>
    <row r="44" spans="1:30" x14ac:dyDescent="0.25">
      <c r="C44"/>
      <c r="D44" s="25" t="str">
        <f t="shared" si="5"/>
        <v/>
      </c>
      <c r="F44" s="26" t="str">
        <f t="shared" si="6"/>
        <v/>
      </c>
      <c r="AC44" s="26" t="str">
        <f t="shared" si="4"/>
        <v/>
      </c>
      <c r="AD44" s="26" t="str">
        <f t="shared" si="4"/>
        <v/>
      </c>
    </row>
    <row r="45" spans="1:30" x14ac:dyDescent="0.25">
      <c r="C45"/>
      <c r="D45" s="25" t="str">
        <f t="shared" si="5"/>
        <v/>
      </c>
      <c r="F45" s="26" t="str">
        <f t="shared" si="6"/>
        <v/>
      </c>
      <c r="G45" s="26" t="str">
        <f t="shared" ref="G45:AB45" si="7">IF(OR(G$14="",$E45=""),"",F45)</f>
        <v/>
      </c>
      <c r="H45" s="26" t="str">
        <f t="shared" si="7"/>
        <v/>
      </c>
      <c r="I45" s="26" t="str">
        <f t="shared" si="7"/>
        <v/>
      </c>
      <c r="J45" s="26" t="str">
        <f t="shared" si="7"/>
        <v/>
      </c>
      <c r="K45" s="26" t="str">
        <f t="shared" si="7"/>
        <v/>
      </c>
      <c r="L45" s="26" t="str">
        <f t="shared" si="7"/>
        <v/>
      </c>
      <c r="M45" s="26" t="str">
        <f t="shared" si="7"/>
        <v/>
      </c>
      <c r="N45" s="26" t="str">
        <f t="shared" si="7"/>
        <v/>
      </c>
      <c r="O45" s="26" t="str">
        <f t="shared" si="7"/>
        <v/>
      </c>
      <c r="P45" s="26" t="str">
        <f t="shared" si="7"/>
        <v/>
      </c>
      <c r="Q45" s="26" t="str">
        <f t="shared" si="7"/>
        <v/>
      </c>
      <c r="R45" s="26" t="str">
        <f t="shared" si="7"/>
        <v/>
      </c>
      <c r="S45" s="26" t="str">
        <f t="shared" si="7"/>
        <v/>
      </c>
      <c r="T45" s="26" t="str">
        <f t="shared" si="7"/>
        <v/>
      </c>
      <c r="U45" s="26" t="str">
        <f t="shared" si="7"/>
        <v/>
      </c>
      <c r="V45" s="26" t="str">
        <f t="shared" si="7"/>
        <v/>
      </c>
      <c r="W45" s="26" t="str">
        <f t="shared" si="7"/>
        <v/>
      </c>
      <c r="X45" s="26" t="str">
        <f t="shared" si="7"/>
        <v/>
      </c>
      <c r="Y45" s="26" t="str">
        <f t="shared" si="7"/>
        <v/>
      </c>
      <c r="Z45" s="26" t="str">
        <f t="shared" si="7"/>
        <v/>
      </c>
      <c r="AA45" s="26" t="str">
        <f t="shared" si="7"/>
        <v/>
      </c>
      <c r="AB45" s="26" t="str">
        <f t="shared" si="7"/>
        <v/>
      </c>
      <c r="AC45" s="26" t="str">
        <f t="shared" si="4"/>
        <v/>
      </c>
      <c r="AD45" s="26" t="str">
        <f t="shared" si="4"/>
        <v/>
      </c>
    </row>
    <row r="46" spans="1:30" x14ac:dyDescent="0.25">
      <c r="C46"/>
      <c r="D46" s="25" t="str">
        <f t="shared" si="5"/>
        <v/>
      </c>
      <c r="F46" s="26" t="str">
        <f t="shared" si="6"/>
        <v/>
      </c>
      <c r="G46" s="26" t="str">
        <f t="shared" ref="G46:AB46" si="8">IF(OR(G$14="",$E46=""),"",F46)</f>
        <v/>
      </c>
      <c r="H46" s="26" t="str">
        <f t="shared" si="8"/>
        <v/>
      </c>
      <c r="I46" s="26" t="str">
        <f t="shared" si="8"/>
        <v/>
      </c>
      <c r="J46" s="26" t="str">
        <f t="shared" si="8"/>
        <v/>
      </c>
      <c r="K46" s="26" t="str">
        <f t="shared" si="8"/>
        <v/>
      </c>
      <c r="L46" s="26" t="str">
        <f t="shared" si="8"/>
        <v/>
      </c>
      <c r="M46" s="26" t="str">
        <f t="shared" si="8"/>
        <v/>
      </c>
      <c r="N46" s="26" t="str">
        <f t="shared" si="8"/>
        <v/>
      </c>
      <c r="O46" s="26" t="str">
        <f t="shared" si="8"/>
        <v/>
      </c>
      <c r="P46" s="26" t="str">
        <f t="shared" si="8"/>
        <v/>
      </c>
      <c r="Q46" s="26" t="str">
        <f t="shared" si="8"/>
        <v/>
      </c>
      <c r="R46" s="26" t="str">
        <f t="shared" si="8"/>
        <v/>
      </c>
      <c r="S46" s="26" t="str">
        <f t="shared" si="8"/>
        <v/>
      </c>
      <c r="T46" s="26" t="str">
        <f t="shared" si="8"/>
        <v/>
      </c>
      <c r="U46" s="26" t="str">
        <f t="shared" si="8"/>
        <v/>
      </c>
      <c r="V46" s="26" t="str">
        <f t="shared" si="8"/>
        <v/>
      </c>
      <c r="W46" s="26" t="str">
        <f t="shared" si="8"/>
        <v/>
      </c>
      <c r="X46" s="26" t="str">
        <f t="shared" si="8"/>
        <v/>
      </c>
      <c r="Y46" s="26" t="str">
        <f t="shared" si="8"/>
        <v/>
      </c>
      <c r="Z46" s="26" t="str">
        <f t="shared" si="8"/>
        <v/>
      </c>
      <c r="AA46" s="26" t="str">
        <f t="shared" si="8"/>
        <v/>
      </c>
      <c r="AB46" s="26" t="str">
        <f t="shared" si="8"/>
        <v/>
      </c>
      <c r="AC46" s="26" t="str">
        <f t="shared" si="4"/>
        <v/>
      </c>
      <c r="AD46" s="26" t="str">
        <f t="shared" si="4"/>
        <v/>
      </c>
    </row>
    <row r="47" spans="1:30" x14ac:dyDescent="0.25">
      <c r="A47" s="27"/>
      <c r="C47"/>
      <c r="AC47" s="26" t="str">
        <f t="shared" si="4"/>
        <v/>
      </c>
      <c r="AD47" s="26" t="str">
        <f t="shared" si="4"/>
        <v/>
      </c>
    </row>
    <row r="48" spans="1:30" x14ac:dyDescent="0.25">
      <c r="A48" s="27"/>
      <c r="C48"/>
      <c r="AC48" s="26" t="str">
        <f t="shared" si="4"/>
        <v/>
      </c>
      <c r="AD48" s="26" t="str">
        <f t="shared" si="4"/>
        <v/>
      </c>
    </row>
    <row r="49" spans="1:30" x14ac:dyDescent="0.25">
      <c r="A49" s="27"/>
      <c r="C49"/>
    </row>
    <row r="50" spans="1:30" x14ac:dyDescent="0.25">
      <c r="A50" s="27"/>
      <c r="C50"/>
      <c r="AC50" s="26" t="str">
        <f t="shared" ref="AC50:AD58" si="9">IF(OR(AC$14="",$E50=""),"",AB50)</f>
        <v/>
      </c>
      <c r="AD50" s="26" t="str">
        <f t="shared" si="9"/>
        <v/>
      </c>
    </row>
    <row r="51" spans="1:30" x14ac:dyDescent="0.25">
      <c r="A51" s="27"/>
      <c r="C51"/>
      <c r="AC51" s="26" t="str">
        <f t="shared" si="9"/>
        <v/>
      </c>
      <c r="AD51" s="26" t="str">
        <f t="shared" si="9"/>
        <v/>
      </c>
    </row>
    <row r="52" spans="1:30" x14ac:dyDescent="0.25">
      <c r="A52" s="27"/>
      <c r="C52"/>
      <c r="AC52" s="26" t="str">
        <f t="shared" si="9"/>
        <v/>
      </c>
      <c r="AD52" s="26" t="str">
        <f t="shared" si="9"/>
        <v/>
      </c>
    </row>
    <row r="53" spans="1:30" x14ac:dyDescent="0.25">
      <c r="A53" s="27"/>
      <c r="C53"/>
      <c r="AC53" s="26" t="str">
        <f t="shared" si="9"/>
        <v/>
      </c>
      <c r="AD53" s="26" t="str">
        <f t="shared" si="9"/>
        <v/>
      </c>
    </row>
    <row r="54" spans="1:30" x14ac:dyDescent="0.25">
      <c r="A54" s="27"/>
      <c r="C54"/>
      <c r="AC54" s="26" t="str">
        <f t="shared" si="9"/>
        <v/>
      </c>
      <c r="AD54" s="26" t="str">
        <f t="shared" si="9"/>
        <v/>
      </c>
    </row>
    <row r="55" spans="1:30" x14ac:dyDescent="0.25">
      <c r="A55" s="27"/>
      <c r="C55"/>
      <c r="AC55" s="26" t="str">
        <f t="shared" si="9"/>
        <v/>
      </c>
      <c r="AD55" s="26" t="str">
        <f t="shared" si="9"/>
        <v/>
      </c>
    </row>
    <row r="56" spans="1:30" x14ac:dyDescent="0.25">
      <c r="A56" s="27"/>
      <c r="C56"/>
      <c r="AC56" s="26" t="str">
        <f t="shared" si="9"/>
        <v/>
      </c>
      <c r="AD56" s="26" t="str">
        <f t="shared" si="9"/>
        <v/>
      </c>
    </row>
    <row r="57" spans="1:30" x14ac:dyDescent="0.25">
      <c r="A57" s="27"/>
      <c r="C57"/>
      <c r="AC57" s="26" t="str">
        <f t="shared" si="9"/>
        <v/>
      </c>
      <c r="AD57" s="26" t="str">
        <f t="shared" si="9"/>
        <v/>
      </c>
    </row>
    <row r="58" spans="1:30" x14ac:dyDescent="0.25">
      <c r="A58" s="27"/>
      <c r="C58"/>
      <c r="AC58" s="26" t="str">
        <f t="shared" si="9"/>
        <v/>
      </c>
      <c r="AD58" s="26" t="str">
        <f t="shared" si="9"/>
        <v/>
      </c>
    </row>
    <row r="59" spans="1:30" x14ac:dyDescent="0.25">
      <c r="A59" s="27"/>
      <c r="C59"/>
    </row>
    <row r="60" spans="1:30" x14ac:dyDescent="0.25">
      <c r="A60" s="27"/>
      <c r="C60"/>
      <c r="AC60" s="26" t="str">
        <f t="shared" ref="AC60:AD64" si="10">IF(OR(AC$14="",$E60=""),"",AB60)</f>
        <v/>
      </c>
      <c r="AD60" s="26" t="str">
        <f t="shared" si="10"/>
        <v/>
      </c>
    </row>
    <row r="61" spans="1:30" x14ac:dyDescent="0.25">
      <c r="A61" s="27"/>
      <c r="C61"/>
      <c r="AC61" s="26" t="str">
        <f t="shared" si="10"/>
        <v/>
      </c>
      <c r="AD61" s="26" t="str">
        <f t="shared" si="10"/>
        <v/>
      </c>
    </row>
    <row r="62" spans="1:30" x14ac:dyDescent="0.25">
      <c r="A62" s="27"/>
      <c r="C62"/>
      <c r="AC62" s="26" t="str">
        <f t="shared" si="10"/>
        <v/>
      </c>
      <c r="AD62" s="26" t="str">
        <f t="shared" si="10"/>
        <v/>
      </c>
    </row>
    <row r="63" spans="1:30" x14ac:dyDescent="0.25">
      <c r="A63" s="27"/>
      <c r="C63"/>
      <c r="AC63" s="26" t="str">
        <f t="shared" si="10"/>
        <v/>
      </c>
      <c r="AD63" s="26" t="str">
        <f t="shared" si="10"/>
        <v/>
      </c>
    </row>
    <row r="64" spans="1:30" x14ac:dyDescent="0.25">
      <c r="A64" s="27"/>
      <c r="C64"/>
      <c r="AC64" s="26" t="str">
        <f t="shared" si="10"/>
        <v/>
      </c>
      <c r="AD64" s="26" t="str">
        <f t="shared" si="10"/>
        <v/>
      </c>
    </row>
    <row r="65" spans="3:4" x14ac:dyDescent="0.25">
      <c r="C65"/>
      <c r="D65" s="25" t="str">
        <f>IF(A65&lt;&gt;"","Planned","")</f>
        <v/>
      </c>
    </row>
    <row r="66" spans="3:4" x14ac:dyDescent="0.25">
      <c r="C66"/>
    </row>
    <row r="67" spans="3:4" x14ac:dyDescent="0.25">
      <c r="C67"/>
    </row>
    <row r="68" spans="3:4" x14ac:dyDescent="0.25">
      <c r="C68"/>
    </row>
    <row r="69" spans="3:4" x14ac:dyDescent="0.25">
      <c r="C69"/>
    </row>
    <row r="70" spans="3:4" x14ac:dyDescent="0.25">
      <c r="C70"/>
    </row>
    <row r="71" spans="3:4" x14ac:dyDescent="0.25">
      <c r="C71"/>
    </row>
    <row r="72" spans="3:4" x14ac:dyDescent="0.25">
      <c r="C72"/>
    </row>
    <row r="73" spans="3:4" x14ac:dyDescent="0.25">
      <c r="C73"/>
    </row>
    <row r="74" spans="3:4" x14ac:dyDescent="0.25">
      <c r="C74"/>
    </row>
    <row r="75" spans="3:4" x14ac:dyDescent="0.25">
      <c r="C75"/>
    </row>
    <row r="76" spans="3:4" x14ac:dyDescent="0.25">
      <c r="C76"/>
    </row>
    <row r="77" spans="3:4" x14ac:dyDescent="0.25">
      <c r="C77"/>
    </row>
    <row r="78" spans="3:4" x14ac:dyDescent="0.25">
      <c r="C78"/>
    </row>
    <row r="79" spans="3:4" x14ac:dyDescent="0.25">
      <c r="C79"/>
    </row>
    <row r="80" spans="3:4"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sheetData>
  <conditionalFormatting sqref="A15:AD59">
    <cfRule type="expression" dxfId="1" priority="1" stopIfTrue="1">
      <formula>$D15="Done"</formula>
    </cfRule>
    <cfRule type="expression" dxfId="0" priority="2" stopIfTrue="1">
      <formula>$D15="Ongoing"</formula>
    </cfRule>
  </conditionalFormatting>
  <dataValidations count="1">
    <dataValidation type="list" allowBlank="1" showInputMessage="1" sqref="D3:D8 D15:D65">
      <formula1>"Planned,Ongoing,Done"</formula1>
    </dataValidation>
  </dataValidations>
  <pageMargins left="0.75" right="0.75" top="1" bottom="1" header="0.5" footer="0.5"/>
  <pageSetup paperSize="9" orientation="portrait" r:id="rId1"/>
  <headerFooter alignWithMargins="0"/>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5636740B8BA5F4EA30BF758A6713405" ma:contentTypeVersion="0" ma:contentTypeDescription="Create a new document." ma:contentTypeScope="" ma:versionID="588726e9f84ded6d2f259c42bc5b8c4d">
  <xsd:schema xmlns:xsd="http://www.w3.org/2001/XMLSchema" xmlns:xs="http://www.w3.org/2001/XMLSchema" xmlns:p="http://schemas.microsoft.com/office/2006/metadata/properties" targetNamespace="http://schemas.microsoft.com/office/2006/metadata/properties" ma:root="true" ma:fieldsID="27b4a4f76bea50102067bc7ec8c6d4d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EEDACC0-6F41-4DF4-A233-D1E69AF2028A}">
  <ds:schemaRefs>
    <ds:schemaRef ds:uri="http://schemas.microsoft.com/sharepoint/v3/contenttype/forms"/>
  </ds:schemaRefs>
</ds:datastoreItem>
</file>

<file path=customXml/itemProps2.xml><?xml version="1.0" encoding="utf-8"?>
<ds:datastoreItem xmlns:ds="http://schemas.openxmlformats.org/officeDocument/2006/customXml" ds:itemID="{FBF85CD3-A9C8-4D55-8F3B-2D6CFC34575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7BA03CE-2BA7-48E4-A882-3783AB7B23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README</vt:lpstr>
      <vt:lpstr>BACKLOG</vt:lpstr>
      <vt:lpstr>Sheet1</vt:lpstr>
      <vt:lpstr>CARDS</vt:lpstr>
      <vt:lpstr>TEMPLATE</vt:lpstr>
      <vt:lpstr>Sp2</vt:lpstr>
      <vt:lpstr>'Sp2'!DoneDays</vt:lpstr>
      <vt:lpstr>'Sp2'!ImplementationDays</vt:lpstr>
      <vt:lpstr>BACKLOG!Print_Area</vt:lpstr>
      <vt:lpstr>'Sp2'!SprintTasks</vt:lpstr>
      <vt:lpstr>'Sp2'!TaskRows</vt:lpstr>
      <vt:lpstr>'Sp2'!TaskStatus</vt:lpstr>
      <vt:lpstr>'Sp2'!TaskStoryID</vt:lpstr>
      <vt:lpstr>'Sp2'!TotalEffort</vt:lpstr>
      <vt:lpstr>'Sp2'!TrendDays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 Nijenhuis</dc:creator>
  <cp:keywords/>
  <dc:description/>
  <cp:lastModifiedBy>Raman Kaur</cp:lastModifiedBy>
  <cp:revision/>
  <dcterms:created xsi:type="dcterms:W3CDTF">2007-08-23T17:44:31Z</dcterms:created>
  <dcterms:modified xsi:type="dcterms:W3CDTF">2017-03-01T16:26:25Z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0x01010085636740B8BA5F4EA30BF758A6713405</vt:lpwstr>
  </property>
</Properties>
</file>