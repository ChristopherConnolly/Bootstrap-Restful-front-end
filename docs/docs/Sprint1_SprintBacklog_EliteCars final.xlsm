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xl/comments2.xml" ContentType="application/vnd.openxmlformats-officedocument.spreadsheetml.comments+xml"/>
  <Override PartName="/xl/comments1.xml" ContentType="application/vnd.openxmlformats-officedocument.spreadsheetml.comments+xml"/>
  <Override PartName="/xl/comments3.xml" ContentType="application/vnd.openxmlformats-officedocument.spreadsheetml.comment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79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an\Desktop\docs\"/>
    </mc:Choice>
  </mc:AlternateContent>
  <bookViews>
    <workbookView xWindow="0" yWindow="0" windowWidth="19200" windowHeight="5870" tabRatio="522" firstSheet="3" activeTab="3" xr2:uid="{00000000-000D-0000-FFFF-FFFF00000000}"/>
  </bookViews>
  <sheets>
    <sheet name="Sp1" sheetId="19" r:id="rId1"/>
    <sheet name="Sp1.1" sheetId="22" r:id="rId2"/>
    <sheet name="Sheet1" sheetId="20" r:id="rId3"/>
    <sheet name="Sheet2" sheetId="23" r:id="rId4"/>
  </sheets>
  <definedNames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0">'Sp1'!$D$11</definedName>
    <definedName name="DoneDays" localSheetId="1">Sp1.1!$D$11</definedName>
    <definedName name="DoneDays">#REF!</definedName>
    <definedName name="ImplementationDays" localSheetId="0">'Sp1'!$B$9</definedName>
    <definedName name="ImplementationDays" localSheetId="1">Sp1.1!$B$9</definedName>
    <definedName name="ImplementationDays">#REF!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#REF!</definedName>
    <definedName name="RealizedSpeed">OFFSET(#REF!,1,0,#REF!,1)</definedName>
    <definedName name="RealValues" localSheetId="0">OFFSET('Sp1'!$F$10,0,0,1,'Sp1'!DoneDays)</definedName>
    <definedName name="RealValues" localSheetId="1">OFFSET(Sp1.1!$F$10,0,0,1,Sp1.1!DoneDays)</definedName>
    <definedName name="Sprint">#REF!</definedName>
    <definedName name="SprintCount">#REF!</definedName>
    <definedName name="SprintsInTrend">#REF!</definedName>
    <definedName name="SprintTasks" localSheetId="0">'Sp1'!$A$14:$AD$94</definedName>
    <definedName name="SprintTasks" localSheetId="1">Sp1.1!$A$14:$AD$59</definedName>
    <definedName name="SprintTasks">#REF!</definedName>
    <definedName name="Status">#REF!</definedName>
    <definedName name="StoryName">#REF!</definedName>
    <definedName name="TaskRows" localSheetId="0">'Sp1'!$B$11</definedName>
    <definedName name="TaskRows" localSheetId="1">Sp1.1!$B$11</definedName>
    <definedName name="TaskRows">#REF!</definedName>
    <definedName name="TaskStatus" localSheetId="0">'Sp1'!$D$14:$D$94</definedName>
    <definedName name="TaskStatus" localSheetId="1">Sp1.1!$D$14:$D$54</definedName>
    <definedName name="TaskStatus">#REF!</definedName>
    <definedName name="TaskStoryID" localSheetId="0">'Sp1'!$B$14:$B$94</definedName>
    <definedName name="TaskStoryID" localSheetId="1">Sp1.1!$B$14:$B$49</definedName>
    <definedName name="TaskStoryID">#REF!</definedName>
    <definedName name="TotalEffort" localSheetId="0">'Sp1'!$E$10</definedName>
    <definedName name="TotalEffort" localSheetId="1">Sp1.1!$E$10</definedName>
    <definedName name="TotalEffort">#REF!</definedName>
    <definedName name="TrendDays" localSheetId="0">'Sp1'!$D$13</definedName>
    <definedName name="TrendDays" localSheetId="1">Sp1.1!$D$13</definedName>
    <definedName name="TrendDays">#REF!</definedName>
    <definedName name="TrendOffset">#REF!</definedName>
    <definedName name="TrendSprintCount">#REF!</definedName>
  </definedNames>
  <calcPr calcId="171026" calcCompleted="0"/>
</workbook>
</file>

<file path=xl/calcChain.xml><?xml version="1.0" encoding="utf-8"?>
<calcChain xmlns="http://schemas.openxmlformats.org/spreadsheetml/2006/main">
  <c r="Y10" i="23" l="1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E10" i="22"/>
  <c r="G14" i="23"/>
  <c r="H14" i="23"/>
  <c r="F13" i="23"/>
  <c r="D13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G11" i="23"/>
  <c r="B11" i="23"/>
  <c r="F11" i="23"/>
  <c r="I14" i="23"/>
  <c r="H11" i="23"/>
  <c r="G14" i="19"/>
  <c r="H14" i="19"/>
  <c r="I14" i="19"/>
  <c r="G14" i="22"/>
  <c r="H14" i="22"/>
  <c r="B11" i="22"/>
  <c r="D35" i="22"/>
  <c r="F35" i="22"/>
  <c r="D36" i="22"/>
  <c r="F36" i="22"/>
  <c r="D37" i="22"/>
  <c r="F37" i="22"/>
  <c r="D38" i="22"/>
  <c r="F38" i="22"/>
  <c r="D39" i="22"/>
  <c r="F39" i="22"/>
  <c r="D40" i="22"/>
  <c r="F40" i="22"/>
  <c r="D41" i="22"/>
  <c r="F41" i="22"/>
  <c r="D60" i="22"/>
  <c r="B11" i="19"/>
  <c r="V10" i="19"/>
  <c r="J14" i="23"/>
  <c r="I11" i="23"/>
  <c r="AB10" i="22"/>
  <c r="AA10" i="22"/>
  <c r="Z10" i="22"/>
  <c r="K14" i="23"/>
  <c r="J11" i="23"/>
  <c r="L14" i="23"/>
  <c r="K11" i="23"/>
  <c r="M14" i="23"/>
  <c r="L11" i="23"/>
  <c r="N14" i="23"/>
  <c r="M11" i="23"/>
  <c r="O14" i="23"/>
  <c r="N11" i="23"/>
  <c r="P14" i="23"/>
  <c r="O11" i="23"/>
  <c r="Q14" i="23"/>
  <c r="P11" i="23"/>
  <c r="R14" i="23"/>
  <c r="Q11" i="23"/>
  <c r="S14" i="23"/>
  <c r="R11" i="23"/>
  <c r="T14" i="23"/>
  <c r="S11" i="23"/>
  <c r="U14" i="23"/>
  <c r="T11" i="23"/>
  <c r="V14" i="23"/>
  <c r="U11" i="23"/>
  <c r="W14" i="23"/>
  <c r="V11" i="23"/>
  <c r="X14" i="23"/>
  <c r="W11" i="23"/>
  <c r="Y14" i="23"/>
  <c r="X11" i="23"/>
  <c r="Z14" i="23"/>
  <c r="Y11" i="23"/>
  <c r="AA14" i="23"/>
  <c r="Z11" i="23"/>
  <c r="AB14" i="23"/>
  <c r="AA11" i="23"/>
  <c r="AC14" i="23"/>
  <c r="AB11" i="23"/>
  <c r="AD14" i="23"/>
  <c r="AD11" i="23"/>
  <c r="AC11" i="23"/>
  <c r="AC10" i="22"/>
  <c r="AD10" i="22"/>
  <c r="I14" i="22"/>
  <c r="H41" i="22"/>
  <c r="H40" i="22"/>
  <c r="I11" i="22"/>
  <c r="G40" i="22"/>
  <c r="G41" i="22"/>
  <c r="D11" i="23"/>
  <c r="AA10" i="19"/>
  <c r="E10" i="19"/>
  <c r="F11" i="19"/>
  <c r="G11" i="22"/>
  <c r="R10" i="19"/>
  <c r="H10" i="19"/>
  <c r="AB10" i="19"/>
  <c r="Y10" i="19"/>
  <c r="H11" i="22"/>
  <c r="T10" i="19"/>
  <c r="F10" i="19"/>
  <c r="J14" i="19"/>
  <c r="K14" i="19"/>
  <c r="L14" i="19"/>
  <c r="M14" i="19"/>
  <c r="N14" i="19"/>
  <c r="D11" i="22"/>
  <c r="F13" i="22"/>
  <c r="F11" i="22"/>
  <c r="J10" i="19"/>
  <c r="X10" i="19"/>
  <c r="P10" i="19"/>
  <c r="I10" i="19"/>
  <c r="W10" i="19"/>
  <c r="O10" i="19"/>
  <c r="U10" i="19"/>
  <c r="L10" i="19"/>
  <c r="K10" i="19"/>
  <c r="Q10" i="19"/>
  <c r="M10" i="19"/>
  <c r="G10" i="19"/>
  <c r="N10" i="19"/>
  <c r="Z10" i="19"/>
  <c r="S10" i="19"/>
  <c r="J14" i="22"/>
  <c r="I41" i="22"/>
  <c r="I40" i="22"/>
  <c r="I11" i="19"/>
  <c r="D13" i="22"/>
  <c r="AB12" i="22"/>
  <c r="L11" i="19"/>
  <c r="J11" i="19"/>
  <c r="K11" i="19"/>
  <c r="G11" i="19"/>
  <c r="D11" i="19"/>
  <c r="F13" i="19"/>
  <c r="H11" i="19"/>
  <c r="M11" i="19"/>
  <c r="N11" i="19"/>
  <c r="O14" i="19"/>
  <c r="J40" i="22"/>
  <c r="J41" i="22"/>
  <c r="K14" i="22"/>
  <c r="J11" i="22"/>
  <c r="S12" i="22"/>
  <c r="AA12" i="22"/>
  <c r="Z12" i="22"/>
  <c r="Q12" i="22"/>
  <c r="Y12" i="22"/>
  <c r="P12" i="22"/>
  <c r="X12" i="22"/>
  <c r="O12" i="22"/>
  <c r="F12" i="22"/>
  <c r="J12" i="22"/>
  <c r="V12" i="22"/>
  <c r="U12" i="22"/>
  <c r="R12" i="22"/>
  <c r="W12" i="22"/>
  <c r="G12" i="22"/>
  <c r="AD12" i="22"/>
  <c r="I12" i="22"/>
  <c r="L12" i="22"/>
  <c r="K12" i="22"/>
  <c r="M12" i="22"/>
  <c r="AC12" i="22"/>
  <c r="H12" i="22"/>
  <c r="T12" i="22"/>
  <c r="N12" i="22"/>
  <c r="D13" i="19"/>
  <c r="N12" i="19"/>
  <c r="P14" i="19"/>
  <c r="O11" i="19"/>
  <c r="L14" i="22"/>
  <c r="K40" i="22"/>
  <c r="K41" i="22"/>
  <c r="K11" i="22"/>
  <c r="R12" i="19"/>
  <c r="AA12" i="19"/>
  <c r="P12" i="19"/>
  <c r="X12" i="19"/>
  <c r="Z12" i="19"/>
  <c r="AB12" i="19"/>
  <c r="W12" i="19"/>
  <c r="M12" i="19"/>
  <c r="AC12" i="19"/>
  <c r="L12" i="19"/>
  <c r="T12" i="19"/>
  <c r="AD12" i="19"/>
  <c r="O12" i="19"/>
  <c r="H12" i="19"/>
  <c r="K12" i="19"/>
  <c r="F12" i="19"/>
  <c r="V12" i="19"/>
  <c r="S12" i="19"/>
  <c r="J12" i="19"/>
  <c r="G12" i="19"/>
  <c r="Q12" i="19"/>
  <c r="U12" i="19"/>
  <c r="I12" i="19"/>
  <c r="Y12" i="19"/>
  <c r="Q14" i="19"/>
  <c r="P11" i="19"/>
  <c r="M14" i="22"/>
  <c r="L40" i="22"/>
  <c r="L41" i="22"/>
  <c r="L11" i="22"/>
  <c r="R14" i="19"/>
  <c r="Q11" i="19"/>
  <c r="N14" i="22"/>
  <c r="M40" i="22"/>
  <c r="M41" i="22"/>
  <c r="M11" i="22"/>
  <c r="S14" i="19"/>
  <c r="R11" i="19"/>
  <c r="N41" i="22"/>
  <c r="O14" i="22"/>
  <c r="N40" i="22"/>
  <c r="N11" i="22"/>
  <c r="T14" i="19"/>
  <c r="S11" i="19"/>
  <c r="P14" i="22"/>
  <c r="O40" i="22"/>
  <c r="O41" i="22"/>
  <c r="O11" i="22"/>
  <c r="U14" i="19"/>
  <c r="T11" i="19"/>
  <c r="Q14" i="22"/>
  <c r="P41" i="22"/>
  <c r="P40" i="22"/>
  <c r="P11" i="22"/>
  <c r="V14" i="19"/>
  <c r="U11" i="19"/>
  <c r="Q40" i="22"/>
  <c r="R14" i="22"/>
  <c r="Q41" i="22"/>
  <c r="Q11" i="22"/>
  <c r="W14" i="19"/>
  <c r="V11" i="19"/>
  <c r="R40" i="22"/>
  <c r="R41" i="22"/>
  <c r="R11" i="22"/>
  <c r="S14" i="22"/>
  <c r="X14" i="19"/>
  <c r="W11" i="19"/>
  <c r="S11" i="22"/>
  <c r="S41" i="22"/>
  <c r="S40" i="22"/>
  <c r="T14" i="22"/>
  <c r="Y14" i="19"/>
  <c r="X11" i="19"/>
  <c r="T41" i="22"/>
  <c r="U14" i="22"/>
  <c r="T11" i="22"/>
  <c r="T40" i="22"/>
  <c r="Z14" i="19"/>
  <c r="Y11" i="19"/>
  <c r="U41" i="22"/>
  <c r="V14" i="22"/>
  <c r="U40" i="22"/>
  <c r="U11" i="22"/>
  <c r="AA14" i="19"/>
  <c r="Z11" i="19"/>
  <c r="V41" i="22"/>
  <c r="V40" i="22"/>
  <c r="W14" i="22"/>
  <c r="V11" i="22"/>
  <c r="AB14" i="19"/>
  <c r="AA11" i="19"/>
  <c r="W40" i="22"/>
  <c r="W11" i="22"/>
  <c r="X14" i="22"/>
  <c r="W41" i="22"/>
  <c r="AB11" i="19"/>
  <c r="AC14" i="19"/>
  <c r="X41" i="22"/>
  <c r="Y14" i="22"/>
  <c r="X11" i="22"/>
  <c r="X40" i="22"/>
  <c r="AD14" i="19"/>
  <c r="AD11" i="19"/>
  <c r="AC11" i="19"/>
  <c r="Y40" i="22"/>
  <c r="Y41" i="22"/>
  <c r="Z14" i="22"/>
  <c r="Y11" i="22"/>
  <c r="Z40" i="22"/>
  <c r="AA14" i="22"/>
  <c r="Z11" i="22"/>
  <c r="Z41" i="22"/>
  <c r="AA41" i="22"/>
  <c r="AB14" i="22"/>
  <c r="AA40" i="22"/>
  <c r="AA11" i="22"/>
  <c r="AB40" i="22"/>
  <c r="AB11" i="22"/>
  <c r="AC14" i="22"/>
  <c r="AB41" i="22"/>
  <c r="AC46" i="22"/>
  <c r="AC45" i="22"/>
  <c r="AC49" i="22"/>
  <c r="AC25" i="22"/>
  <c r="AC41" i="22"/>
  <c r="AC42" i="22"/>
  <c r="AC56" i="22"/>
  <c r="AC27" i="22"/>
  <c r="AC59" i="22"/>
  <c r="AC57" i="22"/>
  <c r="AC53" i="22"/>
  <c r="AC43" i="22"/>
  <c r="AC55" i="22"/>
  <c r="AC36" i="22"/>
  <c r="AC58" i="22"/>
  <c r="AC47" i="22"/>
  <c r="AC48" i="22"/>
  <c r="AC40" i="22"/>
  <c r="AC38" i="22"/>
  <c r="AC39" i="22"/>
  <c r="AC26" i="22"/>
  <c r="AC37" i="22"/>
  <c r="AC52" i="22"/>
  <c r="AC35" i="22"/>
  <c r="AC11" i="22"/>
  <c r="AC50" i="22"/>
  <c r="AC51" i="22"/>
  <c r="AD14" i="22"/>
  <c r="AD26" i="22"/>
  <c r="AD56" i="22"/>
  <c r="AD35" i="22"/>
  <c r="AD57" i="22"/>
  <c r="AD59" i="22"/>
  <c r="AD51" i="22"/>
  <c r="AD55" i="22"/>
  <c r="AD27" i="22"/>
  <c r="AD41" i="22"/>
  <c r="AD25" i="22"/>
  <c r="AD45" i="22"/>
  <c r="AD47" i="22"/>
  <c r="AD11" i="22"/>
  <c r="AD53" i="22"/>
  <c r="AD36" i="22"/>
  <c r="AD52" i="22"/>
  <c r="AD37" i="22"/>
  <c r="AD39" i="22"/>
  <c r="AD48" i="22"/>
  <c r="AD46" i="22"/>
  <c r="AD50" i="22"/>
  <c r="AD43" i="22"/>
  <c r="AD40" i="22"/>
  <c r="AD49" i="22"/>
  <c r="AD58" i="22"/>
  <c r="AD38" i="22"/>
  <c r="AD4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0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2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1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<sst xmlns="http://schemas.openxmlformats.org/spreadsheetml/2006/main" count="189" uniqueCount="96">
  <si>
    <t>Sprint 1 Backlog</t>
  </si>
  <si>
    <t>Task View</t>
  </si>
  <si>
    <t>Sprint implementation days</t>
  </si>
  <si>
    <t>Effort</t>
  </si>
  <si>
    <t>Remaining on implementation day…</t>
  </si>
  <si>
    <t>Trend calculated based on last</t>
  </si>
  <si>
    <t>Days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</si>
  <si>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</si>
  <si>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</si>
  <si>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</si>
  <si>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</si>
  <si>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</si>
  <si>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</si>
  <si>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</si>
  <si>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</si>
  <si>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Story ID</t>
  </si>
  <si>
    <t>Responsible</t>
  </si>
  <si>
    <t>Status</t>
  </si>
  <si>
    <t>Est.</t>
  </si>
  <si>
    <t>Write definition of done</t>
  </si>
  <si>
    <t>Done</t>
  </si>
  <si>
    <t>Write Sprint Goal</t>
  </si>
  <si>
    <t>Create database</t>
  </si>
  <si>
    <t>All</t>
  </si>
  <si>
    <t>insert the data into database</t>
  </si>
  <si>
    <t>Connecting databse via jdbc</t>
  </si>
  <si>
    <t>Updating web.xml</t>
  </si>
  <si>
    <t>Raman</t>
  </si>
  <si>
    <t>Unit  testing on Car</t>
  </si>
  <si>
    <t>Sandra</t>
  </si>
  <si>
    <t>Update test result document</t>
  </si>
  <si>
    <t>Update test report document</t>
  </si>
  <si>
    <t>User story elaborations</t>
  </si>
  <si>
    <t>Sandra &amp; Raman</t>
  </si>
  <si>
    <t>Code Java for View All Cars</t>
  </si>
  <si>
    <t>Run on Postman</t>
  </si>
  <si>
    <t>Manual Testing on view all cars</t>
  </si>
  <si>
    <t>Code Java for View One Car by id</t>
  </si>
  <si>
    <t>Manual Testing on view one car</t>
  </si>
  <si>
    <t>Code java for Add a Car</t>
  </si>
  <si>
    <t>Chris</t>
  </si>
  <si>
    <t>Manual Testing on add a car</t>
  </si>
  <si>
    <t>Code java for Update details of Car</t>
  </si>
  <si>
    <t>Manual Testing on update details of car</t>
  </si>
  <si>
    <t>Code java for Deleting a Car</t>
  </si>
  <si>
    <t>Manual Testing on Deleting a car</t>
  </si>
  <si>
    <t>Code java for Search Car by make</t>
  </si>
  <si>
    <t>Manual Testing on search car by make</t>
  </si>
  <si>
    <t>Code java for Search Car by Make and Price per day</t>
  </si>
  <si>
    <t>Manual Testing search Car by Make and Price per day</t>
  </si>
  <si>
    <t>Story View</t>
  </si>
  <si>
    <t>Only decrease the value for the story when it is Done</t>
  </si>
  <si>
    <t>It stays at its initial value until the story is Done</t>
  </si>
  <si>
    <t>Story pts</t>
  </si>
  <si>
    <t>Story Name</t>
  </si>
  <si>
    <t>Story Pts</t>
  </si>
  <si>
    <t>View All Cars</t>
  </si>
  <si>
    <t>View One Car</t>
  </si>
  <si>
    <t>Add a car</t>
  </si>
  <si>
    <t>Update details of car</t>
  </si>
  <si>
    <t>Delete a car</t>
  </si>
  <si>
    <t>Search Car by make</t>
  </si>
  <si>
    <t>Search Car by make and price per day</t>
  </si>
  <si>
    <t>Code JSP for Admin login</t>
  </si>
  <si>
    <t>Design GUI for Admin login</t>
  </si>
  <si>
    <t>Code HTML &amp; CSS for Admin Login</t>
  </si>
  <si>
    <t>Manual Testing Admin login</t>
  </si>
  <si>
    <t>Update User Guide on Admin login</t>
  </si>
  <si>
    <t>Design GUI for View Cars</t>
  </si>
  <si>
    <t>Code HTML &amp; CSS for View Cars</t>
  </si>
  <si>
    <t>Manual Testing View Cars</t>
  </si>
  <si>
    <t>Update User Guide on View Cars</t>
  </si>
  <si>
    <t>Code Java for Search Availabilty</t>
  </si>
  <si>
    <t>Code JavaScript for Text Boxes and Buttons</t>
  </si>
  <si>
    <t>Code HTML &amp; CSS for Search Cars</t>
  </si>
  <si>
    <t>Manual Testing for Search Cars</t>
  </si>
  <si>
    <t>J Unit Testing for Search Availabilty</t>
  </si>
  <si>
    <t>Update User Guide on Search Cars</t>
  </si>
  <si>
    <t>Code Java for Create Customer Account</t>
  </si>
  <si>
    <t>Code JavaScript for Create Customer Account</t>
  </si>
  <si>
    <t>Code HTML &amp; CSS for Create Customer Account</t>
  </si>
  <si>
    <t>Manual Testing for Create Customer Account</t>
  </si>
  <si>
    <t>J Unit Testing for Create Customer Account</t>
  </si>
  <si>
    <t>Update User Guide on Create Customer Account</t>
  </si>
  <si>
    <t>Code Java for Customer Login</t>
  </si>
  <si>
    <t>Code JavaScript for Customer Login</t>
  </si>
  <si>
    <t>Code HTML &amp; CSS for Customer Login</t>
  </si>
  <si>
    <t>Manual Testing for Customer Login</t>
  </si>
  <si>
    <t>J Unit Testing for Customer Login</t>
  </si>
  <si>
    <t>Update User Guide on Customer Login</t>
  </si>
  <si>
    <t>Code Java for Create Booking</t>
  </si>
  <si>
    <t>Code JavaScript for Create Booking</t>
  </si>
  <si>
    <t>Code HTML &amp; CSS for Create Booking</t>
  </si>
  <si>
    <t>Manual Testing for Create Booking</t>
  </si>
  <si>
    <t>J Unit Testing for Create Booking</t>
  </si>
  <si>
    <t>Update User Guide on Create Booking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</si>
</sst>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print &quot;#&quot; Backlog&quot;"/>
  </numFmts>
  <fonts count="8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/>
    <xf numFmtId="0" fontId="6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5" fillId="0" borderId="0" xfId="0" applyFont="1"/>
    <xf numFmtId="164" fontId="3" fillId="0" borderId="0" xfId="0" applyNumberFormat="1" applyFont="1" applyAlignment="1">
      <alignment horizontal="left" vertical="top"/>
    </xf>
    <xf numFmtId="164" fontId="3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/>
    <xf numFmtId="0" fontId="1" fillId="0" borderId="0" xfId="0" applyFont="1" applyAlignment="1">
      <alignment vertical="top"/>
    </xf>
    <xf numFmtId="0" fontId="6" fillId="0" borderId="0" xfId="2" applyAlignment="1">
      <alignment vertical="top"/>
    </xf>
    <xf numFmtId="0" fontId="6" fillId="0" borderId="0" xfId="2" applyAlignment="1">
      <alignment horizontal="center" vertical="top"/>
    </xf>
    <xf numFmtId="0" fontId="6" fillId="0" borderId="0" xfId="2"/>
    <xf numFmtId="0" fontId="6" fillId="0" borderId="0" xfId="2" applyAlignment="1">
      <alignment vertical="top" wrapText="1"/>
    </xf>
    <xf numFmtId="0" fontId="6" fillId="0" borderId="0" xfId="2" applyAlignment="1">
      <alignment horizontal="center"/>
    </xf>
    <xf numFmtId="0" fontId="6" fillId="0" borderId="0" xfId="2" applyNumberFormat="1" applyFont="1" applyFill="1" applyBorder="1" applyAlignment="1">
      <alignment horizontal="left" vertical="top" wrapText="1"/>
    </xf>
    <xf numFmtId="0" fontId="6" fillId="0" borderId="0" xfId="2" applyFont="1" applyAlignment="1">
      <alignment horizontal="center" vertical="top"/>
    </xf>
    <xf numFmtId="0" fontId="1" fillId="2" borderId="0" xfId="2" applyFont="1" applyFill="1" applyAlignment="1">
      <alignment horizontal="center" vertical="top"/>
    </xf>
    <xf numFmtId="0" fontId="1" fillId="2" borderId="0" xfId="2" applyFont="1" applyFill="1" applyAlignment="1">
      <alignment vertical="top"/>
    </xf>
    <xf numFmtId="0" fontId="5" fillId="0" borderId="0" xfId="2" applyFont="1"/>
    <xf numFmtId="0" fontId="1" fillId="0" borderId="0" xfId="2" applyFont="1" applyAlignment="1">
      <alignment horizontal="center" vertical="top"/>
    </xf>
    <xf numFmtId="0" fontId="6" fillId="0" borderId="0" xfId="2" applyFill="1" applyAlignment="1">
      <alignment horizontal="center" vertical="top"/>
    </xf>
    <xf numFmtId="0" fontId="6" fillId="2" borderId="0" xfId="2" applyFill="1" applyAlignment="1">
      <alignment vertical="top"/>
    </xf>
    <xf numFmtId="0" fontId="6" fillId="0" borderId="0" xfId="2" applyFont="1" applyAlignment="1">
      <alignment vertical="top"/>
    </xf>
    <xf numFmtId="0" fontId="1" fillId="0" borderId="0" xfId="2" applyFont="1" applyAlignment="1">
      <alignment vertical="top"/>
    </xf>
    <xf numFmtId="164" fontId="3" fillId="0" borderId="0" xfId="2" applyNumberFormat="1" applyFont="1" applyAlignment="1">
      <alignment horizontal="center" vertical="top"/>
    </xf>
    <xf numFmtId="164" fontId="3" fillId="0" borderId="0" xfId="2" applyNumberFormat="1" applyFont="1" applyAlignment="1">
      <alignment horizontal="left" vertical="top"/>
    </xf>
    <xf numFmtId="0" fontId="6" fillId="0" borderId="0" xfId="0" applyFont="1" applyFill="1" applyAlignment="1">
      <alignment vertical="top"/>
    </xf>
    <xf numFmtId="0" fontId="6" fillId="0" borderId="0" xfId="0" applyNumberFormat="1" applyFont="1" applyFill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1" fillId="0" borderId="0" xfId="2" applyFont="1" applyFill="1" applyAlignment="1">
      <alignment vertical="top"/>
    </xf>
    <xf numFmtId="0" fontId="1" fillId="0" borderId="0" xfId="2" applyFont="1" applyFill="1" applyAlignment="1">
      <alignment horizontal="center" vertical="top"/>
    </xf>
    <xf numFmtId="0" fontId="6" fillId="0" borderId="0" xfId="2" applyFill="1" applyAlignment="1">
      <alignment vertical="top"/>
    </xf>
    <xf numFmtId="0" fontId="1" fillId="0" borderId="0" xfId="2" applyFont="1" applyAlignment="1">
      <alignment horizontal="center"/>
    </xf>
    <xf numFmtId="0" fontId="6" fillId="0" borderId="0" xfId="0" applyFont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5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9-49C0-A101-5F406F3E7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287312"/>
        <c:axId val="426294032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25.5</c:v>
                </c:pt>
                <c:pt idx="1">
                  <c:v>24.225000000000001</c:v>
                </c:pt>
                <c:pt idx="2">
                  <c:v>22.95</c:v>
                </c:pt>
                <c:pt idx="3">
                  <c:v>21.675000000000001</c:v>
                </c:pt>
                <c:pt idx="4">
                  <c:v>20.399999999999999</c:v>
                </c:pt>
                <c:pt idx="5">
                  <c:v>19.125</c:v>
                </c:pt>
                <c:pt idx="6">
                  <c:v>17.850000000000001</c:v>
                </c:pt>
                <c:pt idx="7">
                  <c:v>16.575000000000003</c:v>
                </c:pt>
                <c:pt idx="8">
                  <c:v>15.3</c:v>
                </c:pt>
                <c:pt idx="9">
                  <c:v>14.025</c:v>
                </c:pt>
                <c:pt idx="10">
                  <c:v>12.75</c:v>
                </c:pt>
                <c:pt idx="11">
                  <c:v>11.475000000000001</c:v>
                </c:pt>
                <c:pt idx="12">
                  <c:v>10.200000000000001</c:v>
                </c:pt>
                <c:pt idx="13">
                  <c:v>8.9250000000000007</c:v>
                </c:pt>
                <c:pt idx="14">
                  <c:v>7.6500000000000021</c:v>
                </c:pt>
                <c:pt idx="15">
                  <c:v>6.375</c:v>
                </c:pt>
                <c:pt idx="16">
                  <c:v>5.1000000000000014</c:v>
                </c:pt>
                <c:pt idx="17">
                  <c:v>3.8250000000000028</c:v>
                </c:pt>
                <c:pt idx="18">
                  <c:v>2.5500000000000007</c:v>
                </c:pt>
                <c:pt idx="19">
                  <c:v>1.2750000000000021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A9-49C0-A101-5F406F3E7F59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A9-49C0-A101-5F406F3E7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87312"/>
        <c:axId val="426294032"/>
      </c:lineChart>
      <c:catAx>
        <c:axId val="426287312"/>
        <c:scaling>
          <c:orientation val="minMax"/>
        </c:scaling>
        <c:delete val="1"/>
        <c:axPos val="b"/>
        <c:majorTickMark val="out"/>
        <c:minorTickMark val="none"/>
        <c:tickLblPos val="nextTo"/>
        <c:crossAx val="426294032"/>
        <c:crosses val="autoZero"/>
        <c:auto val="1"/>
        <c:lblAlgn val="ctr"/>
        <c:lblOffset val="100"/>
        <c:noMultiLvlLbl val="0"/>
      </c:catAx>
      <c:valAx>
        <c:axId val="4262940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(hrs)</a:t>
                </a:r>
              </a:p>
            </c:rich>
          </c:tx>
          <c:layout>
            <c:manualLayout>
              <c:xMode val="edge"/>
              <c:yMode val="edge"/>
              <c:x val="0.12671594508975711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2873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470588235295E-2"/>
          <c:w val="0.11404435058078141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Sp1.1!$F$10:$AD$10</c:f>
              <c:numCache>
                <c:formatCode>General</c:formatCode>
                <c:ptCount val="25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47</c:v>
                </c:pt>
                <c:pt idx="4">
                  <c:v>47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42</c:v>
                </c:pt>
                <c:pt idx="9">
                  <c:v>42</c:v>
                </c:pt>
                <c:pt idx="10">
                  <c:v>37</c:v>
                </c:pt>
                <c:pt idx="11">
                  <c:v>37</c:v>
                </c:pt>
                <c:pt idx="12">
                  <c:v>29</c:v>
                </c:pt>
                <c:pt idx="13">
                  <c:v>24</c:v>
                </c:pt>
                <c:pt idx="14">
                  <c:v>24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B-4210-8DA1-EA9C80E58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040496"/>
        <c:axId val="133038816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Sp1.1!$F$11:$AD$11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EB-4210-8DA1-EA9C80E5886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Sp1.1!$F$12:$AD$12</c:f>
              <c:numCache>
                <c:formatCode>General</c:formatCode>
                <c:ptCount val="25"/>
                <c:pt idx="0">
                  <c:v>55.442105263157892</c:v>
                </c:pt>
                <c:pt idx="1">
                  <c:v>53.18245614035088</c:v>
                </c:pt>
                <c:pt idx="2">
                  <c:v>50.92280701754386</c:v>
                </c:pt>
                <c:pt idx="3">
                  <c:v>48.663157894736841</c:v>
                </c:pt>
                <c:pt idx="4">
                  <c:v>46.403508771929822</c:v>
                </c:pt>
                <c:pt idx="5">
                  <c:v>44.14385964912281</c:v>
                </c:pt>
                <c:pt idx="6">
                  <c:v>41.88421052631579</c:v>
                </c:pt>
                <c:pt idx="7">
                  <c:v>39.624561403508778</c:v>
                </c:pt>
                <c:pt idx="8">
                  <c:v>37.364912280701759</c:v>
                </c:pt>
                <c:pt idx="9">
                  <c:v>35.10526315789474</c:v>
                </c:pt>
                <c:pt idx="10">
                  <c:v>32.845614035087721</c:v>
                </c:pt>
                <c:pt idx="11">
                  <c:v>30.585964912280708</c:v>
                </c:pt>
                <c:pt idx="12">
                  <c:v>28.326315789473689</c:v>
                </c:pt>
                <c:pt idx="13">
                  <c:v>26.066666666666674</c:v>
                </c:pt>
                <c:pt idx="14">
                  <c:v>23.807017543859658</c:v>
                </c:pt>
                <c:pt idx="15">
                  <c:v>21.547368421052639</c:v>
                </c:pt>
                <c:pt idx="16">
                  <c:v>19.287719298245619</c:v>
                </c:pt>
                <c:pt idx="17">
                  <c:v>17.028070175438607</c:v>
                </c:pt>
                <c:pt idx="18">
                  <c:v>14.768421052631588</c:v>
                </c:pt>
                <c:pt idx="19">
                  <c:v>12.508771929824569</c:v>
                </c:pt>
                <c:pt idx="20">
                  <c:v>10.249122807017557</c:v>
                </c:pt>
                <c:pt idx="21">
                  <c:v>7.9894736842105374</c:v>
                </c:pt>
                <c:pt idx="22">
                  <c:v>5.7298245614035181</c:v>
                </c:pt>
                <c:pt idx="23">
                  <c:v>3.470175438596506</c:v>
                </c:pt>
                <c:pt idx="24">
                  <c:v>1.2105263157894868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EB-4210-8DA1-EA9C80E58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040496"/>
        <c:axId val="133038816"/>
      </c:lineChart>
      <c:catAx>
        <c:axId val="133040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33038816"/>
        <c:crosses val="autoZero"/>
        <c:auto val="1"/>
        <c:lblAlgn val="ctr"/>
        <c:lblOffset val="100"/>
        <c:noMultiLvlLbl val="0"/>
      </c:catAx>
      <c:valAx>
        <c:axId val="13303881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E"/>
                  <a:t>Work Remaining (pts)</a:t>
                </a:r>
              </a:p>
            </c:rich>
          </c:tx>
          <c:layout>
            <c:manualLayout>
              <c:xMode val="edge"/>
              <c:yMode val="edge"/>
              <c:x val="0.126715896264262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04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690152720547E-3"/>
          <c:y val="6.6176470588235295E-2"/>
          <c:w val="0.11404436103518148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9-49C0-A101-5F406F3E7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887760"/>
        <c:axId val="428791200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25.5</c:v>
                </c:pt>
                <c:pt idx="1">
                  <c:v>24.225000000000001</c:v>
                </c:pt>
                <c:pt idx="2">
                  <c:v>22.95</c:v>
                </c:pt>
                <c:pt idx="3">
                  <c:v>21.675000000000001</c:v>
                </c:pt>
                <c:pt idx="4">
                  <c:v>20.399999999999999</c:v>
                </c:pt>
                <c:pt idx="5">
                  <c:v>19.125</c:v>
                </c:pt>
                <c:pt idx="6">
                  <c:v>17.850000000000001</c:v>
                </c:pt>
                <c:pt idx="7">
                  <c:v>16.575000000000003</c:v>
                </c:pt>
                <c:pt idx="8">
                  <c:v>15.3</c:v>
                </c:pt>
                <c:pt idx="9">
                  <c:v>14.025</c:v>
                </c:pt>
                <c:pt idx="10">
                  <c:v>12.75</c:v>
                </c:pt>
                <c:pt idx="11">
                  <c:v>11.475000000000001</c:v>
                </c:pt>
                <c:pt idx="12">
                  <c:v>10.200000000000001</c:v>
                </c:pt>
                <c:pt idx="13">
                  <c:v>8.9250000000000007</c:v>
                </c:pt>
                <c:pt idx="14">
                  <c:v>7.6500000000000021</c:v>
                </c:pt>
                <c:pt idx="15">
                  <c:v>6.375</c:v>
                </c:pt>
                <c:pt idx="16">
                  <c:v>5.1000000000000014</c:v>
                </c:pt>
                <c:pt idx="17">
                  <c:v>3.8250000000000028</c:v>
                </c:pt>
                <c:pt idx="18">
                  <c:v>2.5500000000000007</c:v>
                </c:pt>
                <c:pt idx="19">
                  <c:v>1.2750000000000021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A9-49C0-A101-5F406F3E7F59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A9-49C0-A101-5F406F3E7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87760"/>
        <c:axId val="428791200"/>
      </c:lineChart>
      <c:catAx>
        <c:axId val="136887760"/>
        <c:scaling>
          <c:orientation val="minMax"/>
        </c:scaling>
        <c:delete val="1"/>
        <c:axPos val="b"/>
        <c:majorTickMark val="out"/>
        <c:minorTickMark val="none"/>
        <c:tickLblPos val="nextTo"/>
        <c:crossAx val="428791200"/>
        <c:crosses val="autoZero"/>
        <c:auto val="1"/>
        <c:lblAlgn val="ctr"/>
        <c:lblOffset val="100"/>
        <c:noMultiLvlLbl val="0"/>
      </c:catAx>
      <c:valAx>
        <c:axId val="42879120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(hrs)</a:t>
                </a:r>
              </a:p>
            </c:rich>
          </c:tx>
          <c:layout>
            <c:manualLayout>
              <c:xMode val="edge"/>
              <c:yMode val="edge"/>
              <c:x val="0.12671594508975711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8877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470588235295E-2"/>
          <c:w val="0.11404435058078141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127600</xdr:rowOff>
    </xdr:to>
    <xdr:graphicFrame macro="">
      <xdr:nvGraphicFramePr>
        <xdr:cNvPr id="17592" name="Chart 2">
          <a:extLst>
            <a:ext uri="{FF2B5EF4-FFF2-40B4-BE49-F238E27FC236}">
              <a16:creationId xmlns:a16="http://schemas.microsoft.com/office/drawing/2014/main" id="{00000000-0008-0000-0000-0000B8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70777" name="Chart 2">
          <a:extLst>
            <a:ext uri="{FF2B5EF4-FFF2-40B4-BE49-F238E27FC236}">
              <a16:creationId xmlns:a16="http://schemas.microsoft.com/office/drawing/2014/main" id="{00000000-0008-0000-0200-000079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D93"/>
  <sheetViews>
    <sheetView zoomScale="70" zoomScaleNormal="70" workbookViewId="0" xr3:uid="{AEA406A1-0E4B-5B11-9CD5-51D6E497D94C}">
      <pane ySplit="14" topLeftCell="A15" activePane="bottomLeft" state="frozen"/>
      <selection pane="bottomLeft" activeCell="C54" sqref="C54"/>
    </sheetView>
  </sheetViews>
  <sheetFormatPr defaultColWidth="9.140625" defaultRowHeight="12.6"/>
  <cols>
    <col min="1" max="1" width="65" style="3" customWidth="1"/>
    <col min="2" max="2" width="15.42578125" style="2" bestFit="1" customWidth="1"/>
    <col min="3" max="3" width="13.7109375" style="3" customWidth="1"/>
    <col min="4" max="4" width="10.85546875" style="3" customWidth="1"/>
    <col min="5" max="5" width="6.5703125" style="2" customWidth="1"/>
    <col min="6" max="30" width="4.42578125" style="2" customWidth="1"/>
    <col min="31" max="16384" width="9.140625" style="3"/>
  </cols>
  <sheetData>
    <row r="1" spans="1:30" ht="17.45">
      <c r="A1" s="5" t="s">
        <v>0</v>
      </c>
      <c r="B1" s="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2.95">
      <c r="A2" s="15" t="s">
        <v>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2.95">
      <c r="A9" s="7" t="s">
        <v>2</v>
      </c>
      <c r="B9" s="8">
        <v>20</v>
      </c>
      <c r="C9" s="7"/>
      <c r="D9" s="9"/>
      <c r="E9" s="7" t="s">
        <v>3</v>
      </c>
      <c r="F9" s="7" t="s">
        <v>4</v>
      </c>
      <c r="G9" s="7"/>
      <c r="H9" s="7"/>
      <c r="I9" s="7"/>
      <c r="J9" s="7"/>
      <c r="K9" s="7"/>
      <c r="L9" s="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ht="12.95">
      <c r="A10" s="7" t="s">
        <v>5</v>
      </c>
      <c r="B10" s="8">
        <v>20</v>
      </c>
      <c r="C10" s="7" t="s">
        <v>6</v>
      </c>
      <c r="D10" s="7" t="s">
        <v>7</v>
      </c>
      <c r="E10" s="10">
        <f ca="1">SUM(OFFSET(E14,1,0,TaskRows,1))</f>
        <v>25.5</v>
      </c>
      <c r="F10" s="10">
        <f ca="1">IF(AND(SUM(OFFSET(F14,1,0,TaskRows,1))=0),0,SUM(OFFSET(F14,1,0,TaskRows,1)))</f>
        <v>0</v>
      </c>
      <c r="G10" s="10">
        <f t="shared" ref="G10:AB10" ca="1" si="0">IF(AND(SUM(OFFSET(G14,1,0,TaskRows,1))=0),"",SUM(OFFSET(G14,1,0,TaskRows,1)))</f>
        <v>4</v>
      </c>
      <c r="H10" s="10" t="str">
        <f t="shared" ca="1" si="0"/>
        <v/>
      </c>
      <c r="I10" s="10" t="str">
        <f t="shared" ca="1" si="0"/>
        <v/>
      </c>
      <c r="J10" s="10" t="str">
        <f t="shared" ca="1" si="0"/>
        <v/>
      </c>
      <c r="K10" s="10">
        <f t="shared" ca="1" si="0"/>
        <v>1.5</v>
      </c>
      <c r="L10" s="10">
        <f t="shared" ca="1" si="0"/>
        <v>2</v>
      </c>
      <c r="M10" s="10">
        <f t="shared" ca="1" si="0"/>
        <v>2</v>
      </c>
      <c r="N10" s="10">
        <f t="shared" ca="1" si="0"/>
        <v>1</v>
      </c>
      <c r="O10" s="10">
        <f t="shared" ca="1" si="0"/>
        <v>1</v>
      </c>
      <c r="P10" s="10">
        <f t="shared" ca="1" si="0"/>
        <v>1</v>
      </c>
      <c r="Q10" s="10">
        <f t="shared" ca="1" si="0"/>
        <v>1</v>
      </c>
      <c r="R10" s="10" t="str">
        <f t="shared" ca="1" si="0"/>
        <v/>
      </c>
      <c r="S10" s="10" t="str">
        <f t="shared" ca="1" si="0"/>
        <v/>
      </c>
      <c r="T10" s="10">
        <f t="shared" ca="1" si="0"/>
        <v>1</v>
      </c>
      <c r="U10" s="10">
        <f t="shared" ca="1" si="0"/>
        <v>2</v>
      </c>
      <c r="V10" s="10">
        <f t="shared" ca="1" si="0"/>
        <v>1</v>
      </c>
      <c r="W10" s="10">
        <f t="shared" ca="1" si="0"/>
        <v>4</v>
      </c>
      <c r="X10" s="10">
        <f t="shared" ca="1" si="0"/>
        <v>4</v>
      </c>
      <c r="Y10" s="10" t="str">
        <f t="shared" ca="1" si="0"/>
        <v/>
      </c>
      <c r="Z10" s="10" t="str">
        <f t="shared" ca="1" si="0"/>
        <v/>
      </c>
      <c r="AA10" s="10" t="str">
        <f t="shared" ca="1" si="0"/>
        <v/>
      </c>
      <c r="AB10" s="10" t="str">
        <f t="shared" ca="1" si="0"/>
        <v/>
      </c>
      <c r="AC10" s="10"/>
      <c r="AD10" s="10"/>
    </row>
    <row r="11" spans="1:30" customFormat="1" hidden="1">
      <c r="A11" t="s">
        <v>8</v>
      </c>
      <c r="B11" s="1">
        <f>IF(COUNTA(A15:A106)=0,1,COUNTA(A15:A106))</f>
        <v>31</v>
      </c>
      <c r="C11" t="s">
        <v>9</v>
      </c>
      <c r="D11" s="1">
        <f ca="1">IF(COUNTIF(F10:AD10,"&gt;0")=0,1,COUNTIF(F10:AD10,"&gt;0"))</f>
        <v>13</v>
      </c>
      <c r="E11" s="1"/>
      <c r="F11" s="1">
        <f ca="1">IF(F14="","",$E10-$E10/($B9-1)*(F14-1))</f>
        <v>25.5</v>
      </c>
      <c r="G11" s="1">
        <f t="shared" ref="G11:AD11" ca="1" si="1">IF(G14="","",TotalEffort-TotalEffort/(ImplementationDays)*(G14-1))</f>
        <v>24.225000000000001</v>
      </c>
      <c r="H11" s="1">
        <f t="shared" ca="1" si="1"/>
        <v>22.95</v>
      </c>
      <c r="I11" s="1">
        <f t="shared" ca="1" si="1"/>
        <v>21.675000000000001</v>
      </c>
      <c r="J11" s="1">
        <f t="shared" ca="1" si="1"/>
        <v>20.399999999999999</v>
      </c>
      <c r="K11" s="1">
        <f t="shared" ca="1" si="1"/>
        <v>19.125</v>
      </c>
      <c r="L11" s="1">
        <f t="shared" ca="1" si="1"/>
        <v>17.850000000000001</v>
      </c>
      <c r="M11" s="1">
        <f t="shared" ca="1" si="1"/>
        <v>16.575000000000003</v>
      </c>
      <c r="N11" s="1">
        <f t="shared" ca="1" si="1"/>
        <v>15.3</v>
      </c>
      <c r="O11" s="1">
        <f t="shared" ca="1" si="1"/>
        <v>14.025</v>
      </c>
      <c r="P11" s="1">
        <f t="shared" ca="1" si="1"/>
        <v>12.75</v>
      </c>
      <c r="Q11" s="1">
        <f t="shared" ca="1" si="1"/>
        <v>11.475000000000001</v>
      </c>
      <c r="R11" s="1">
        <f t="shared" ca="1" si="1"/>
        <v>10.200000000000001</v>
      </c>
      <c r="S11" s="1">
        <f t="shared" ca="1" si="1"/>
        <v>8.9250000000000007</v>
      </c>
      <c r="T11" s="1">
        <f t="shared" ca="1" si="1"/>
        <v>7.6500000000000021</v>
      </c>
      <c r="U11" s="1">
        <f t="shared" ca="1" si="1"/>
        <v>6.375</v>
      </c>
      <c r="V11" s="1">
        <f t="shared" ca="1" si="1"/>
        <v>5.1000000000000014</v>
      </c>
      <c r="W11" s="1">
        <f t="shared" ca="1" si="1"/>
        <v>3.8250000000000028</v>
      </c>
      <c r="X11" s="1">
        <f t="shared" ca="1" si="1"/>
        <v>2.5500000000000007</v>
      </c>
      <c r="Y11" s="1">
        <f t="shared" ca="1" si="1"/>
        <v>1.2750000000000021</v>
      </c>
      <c r="Z11" s="1" t="str">
        <f t="shared" ca="1" si="1"/>
        <v/>
      </c>
      <c r="AA11" s="1" t="str">
        <f t="shared" ca="1" si="1"/>
        <v/>
      </c>
      <c r="AB11" s="1" t="str">
        <f t="shared" ca="1" si="1"/>
        <v/>
      </c>
      <c r="AC11" s="1" t="str">
        <f t="shared" ca="1" si="1"/>
        <v/>
      </c>
      <c r="AD11" s="1" t="str">
        <f t="shared" ca="1" si="1"/>
        <v/>
      </c>
    </row>
    <row r="12" spans="1:30" customFormat="1" ht="12.95" hidden="1">
      <c r="A12" s="4" t="s">
        <v>10</v>
      </c>
      <c r="C12" t="s">
        <v>11</v>
      </c>
      <c r="D12" s="1"/>
      <c r="E12" s="1"/>
      <c r="F12" s="1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1" t="e">
        <f t="shared" ca="1" si="2"/>
        <v>#VALUE!</v>
      </c>
      <c r="H12" s="1" t="e">
        <f t="shared" ca="1" si="2"/>
        <v>#VALUE!</v>
      </c>
      <c r="I12" s="1" t="e">
        <f t="shared" ca="1" si="2"/>
        <v>#VALUE!</v>
      </c>
      <c r="J12" s="1" t="e">
        <f t="shared" ca="1" si="2"/>
        <v>#VALUE!</v>
      </c>
      <c r="K12" s="1" t="e">
        <f t="shared" ca="1" si="2"/>
        <v>#VALUE!</v>
      </c>
      <c r="L12" s="1" t="e">
        <f t="shared" ca="1" si="2"/>
        <v>#VALUE!</v>
      </c>
      <c r="M12" s="1" t="e">
        <f t="shared" ca="1" si="2"/>
        <v>#VALUE!</v>
      </c>
      <c r="N12" s="1" t="e">
        <f t="shared" ca="1" si="2"/>
        <v>#VALUE!</v>
      </c>
      <c r="O12" s="1" t="e">
        <f t="shared" ca="1" si="2"/>
        <v>#VALUE!</v>
      </c>
      <c r="P12" s="1" t="e">
        <f t="shared" ca="1" si="2"/>
        <v>#VALUE!</v>
      </c>
      <c r="Q12" s="1" t="e">
        <f t="shared" ca="1" si="2"/>
        <v>#VALUE!</v>
      </c>
      <c r="R12" s="1" t="e">
        <f t="shared" ca="1" si="2"/>
        <v>#VALUE!</v>
      </c>
      <c r="S12" s="1" t="e">
        <f t="shared" ca="1" si="2"/>
        <v>#VALUE!</v>
      </c>
      <c r="T12" s="1" t="e">
        <f t="shared" ca="1" si="2"/>
        <v>#VALUE!</v>
      </c>
      <c r="U12" s="1" t="e">
        <f t="shared" ca="1" si="2"/>
        <v>#VALUE!</v>
      </c>
      <c r="V12" s="1" t="e">
        <f t="shared" ca="1" si="2"/>
        <v>#VALUE!</v>
      </c>
      <c r="W12" s="1" t="e">
        <f t="shared" ca="1" si="2"/>
        <v>#VALUE!</v>
      </c>
      <c r="X12" s="1" t="e">
        <f t="shared" ca="1" si="2"/>
        <v>#VALUE!</v>
      </c>
      <c r="Y12" s="1" t="e">
        <f t="shared" ca="1" si="2"/>
        <v>#VALUE!</v>
      </c>
      <c r="Z12" s="1" t="e">
        <f t="shared" ca="1" si="2"/>
        <v>#VALUE!</v>
      </c>
      <c r="AA12" s="1" t="e">
        <f t="shared" ca="1" si="2"/>
        <v>#VALUE!</v>
      </c>
      <c r="AB12" s="1" t="e">
        <f t="shared" ca="1" si="2"/>
        <v>#VALUE!</v>
      </c>
      <c r="AC12" s="1" t="e">
        <f t="shared" ca="1" si="2"/>
        <v>#VALUE!</v>
      </c>
      <c r="AD12" s="1" t="e">
        <f t="shared" ca="1" si="2"/>
        <v>#VALUE!</v>
      </c>
    </row>
    <row r="13" spans="1:30" customFormat="1" ht="12.95" hidden="1">
      <c r="A13" s="4" t="s">
        <v>12</v>
      </c>
      <c r="C13" t="s">
        <v>13</v>
      </c>
      <c r="D13" s="1">
        <f ca="1">IF(DoneDays&gt;B10,B10,DoneDays)</f>
        <v>13</v>
      </c>
      <c r="E13" s="1"/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</row>
    <row r="14" spans="1:30" ht="12.95">
      <c r="A14" s="7" t="s">
        <v>14</v>
      </c>
      <c r="B14" s="11" t="s">
        <v>15</v>
      </c>
      <c r="C14" s="7" t="s">
        <v>16</v>
      </c>
      <c r="D14" s="7" t="s">
        <v>17</v>
      </c>
      <c r="E14" s="11" t="s">
        <v>18</v>
      </c>
      <c r="F14" s="11">
        <v>1</v>
      </c>
      <c r="G14" s="11">
        <f t="shared" ref="G14:AD14" si="3">IF($B$9&gt;F14,F14+1,"")</f>
        <v>2</v>
      </c>
      <c r="H14" s="11">
        <f t="shared" si="3"/>
        <v>3</v>
      </c>
      <c r="I14" s="11">
        <f t="shared" si="3"/>
        <v>4</v>
      </c>
      <c r="J14" s="11">
        <f t="shared" si="3"/>
        <v>5</v>
      </c>
      <c r="K14" s="11">
        <f t="shared" si="3"/>
        <v>6</v>
      </c>
      <c r="L14" s="11">
        <f t="shared" si="3"/>
        <v>7</v>
      </c>
      <c r="M14" s="11">
        <f t="shared" si="3"/>
        <v>8</v>
      </c>
      <c r="N14" s="11">
        <f t="shared" si="3"/>
        <v>9</v>
      </c>
      <c r="O14" s="11">
        <f t="shared" si="3"/>
        <v>10</v>
      </c>
      <c r="P14" s="11">
        <f t="shared" si="3"/>
        <v>11</v>
      </c>
      <c r="Q14" s="11">
        <f t="shared" si="3"/>
        <v>12</v>
      </c>
      <c r="R14" s="11">
        <f t="shared" si="3"/>
        <v>13</v>
      </c>
      <c r="S14" s="11">
        <f t="shared" si="3"/>
        <v>14</v>
      </c>
      <c r="T14" s="11">
        <f t="shared" si="3"/>
        <v>15</v>
      </c>
      <c r="U14" s="11">
        <f t="shared" si="3"/>
        <v>16</v>
      </c>
      <c r="V14" s="11">
        <f t="shared" si="3"/>
        <v>17</v>
      </c>
      <c r="W14" s="11">
        <f t="shared" si="3"/>
        <v>18</v>
      </c>
      <c r="X14" s="11">
        <f t="shared" si="3"/>
        <v>19</v>
      </c>
      <c r="Y14" s="11">
        <f t="shared" si="3"/>
        <v>20</v>
      </c>
      <c r="Z14" s="11" t="str">
        <f t="shared" si="3"/>
        <v/>
      </c>
      <c r="AA14" s="11" t="str">
        <f t="shared" si="3"/>
        <v/>
      </c>
      <c r="AB14" s="11" t="str">
        <f t="shared" si="3"/>
        <v/>
      </c>
      <c r="AC14" s="11" t="str">
        <f t="shared" si="3"/>
        <v/>
      </c>
      <c r="AD14" s="11" t="str">
        <f t="shared" si="3"/>
        <v/>
      </c>
    </row>
    <row r="15" spans="1:30">
      <c r="A15" s="13"/>
      <c r="B15" s="1"/>
      <c r="C15" s="33"/>
    </row>
    <row r="16" spans="1:30">
      <c r="A16" s="13" t="s">
        <v>19</v>
      </c>
      <c r="B16" s="1"/>
      <c r="C16" s="33"/>
      <c r="D16" s="3" t="s">
        <v>20</v>
      </c>
    </row>
    <row r="17" spans="1:25">
      <c r="A17" s="13" t="s">
        <v>21</v>
      </c>
      <c r="B17" s="1"/>
      <c r="C17" s="33"/>
      <c r="D17" s="3" t="s">
        <v>20</v>
      </c>
    </row>
    <row r="18" spans="1:25">
      <c r="A18" s="13" t="s">
        <v>22</v>
      </c>
      <c r="B18" s="1" t="s">
        <v>23</v>
      </c>
      <c r="C18" s="33"/>
      <c r="D18" s="3" t="s">
        <v>20</v>
      </c>
      <c r="E18" s="2">
        <v>2</v>
      </c>
      <c r="F18" s="2">
        <v>0</v>
      </c>
      <c r="G18" s="2">
        <v>2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</row>
    <row r="19" spans="1:25">
      <c r="A19" s="13" t="s">
        <v>24</v>
      </c>
      <c r="B19" s="1" t="s">
        <v>23</v>
      </c>
      <c r="C19" s="33"/>
      <c r="D19" s="3" t="s">
        <v>20</v>
      </c>
      <c r="E19" s="2">
        <v>2</v>
      </c>
      <c r="F19" s="2">
        <v>0</v>
      </c>
      <c r="G19" s="2">
        <v>2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</row>
    <row r="20" spans="1:25">
      <c r="A20" s="13" t="s">
        <v>25</v>
      </c>
      <c r="B20" s="40" t="s">
        <v>23</v>
      </c>
      <c r="C20" s="33"/>
      <c r="D20" s="3" t="s">
        <v>20</v>
      </c>
      <c r="E20" s="2">
        <v>1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</row>
    <row r="21" spans="1:25">
      <c r="A21" s="13" t="s">
        <v>26</v>
      </c>
      <c r="B21" s="40" t="s">
        <v>27</v>
      </c>
      <c r="C21" s="33"/>
      <c r="D21" s="3" t="s">
        <v>20</v>
      </c>
      <c r="E21" s="2">
        <v>0.5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0.5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</row>
    <row r="22" spans="1:25">
      <c r="A22" s="13" t="s">
        <v>28</v>
      </c>
      <c r="B22" s="40" t="s">
        <v>29</v>
      </c>
      <c r="C22" s="33"/>
      <c r="D22" s="3" t="s">
        <v>20</v>
      </c>
      <c r="E22" s="2">
        <v>1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</row>
    <row r="23" spans="1:25">
      <c r="A23" s="13" t="s">
        <v>30</v>
      </c>
      <c r="B23" s="1" t="s">
        <v>29</v>
      </c>
      <c r="C23" s="33"/>
      <c r="D23" s="3" t="s">
        <v>20</v>
      </c>
      <c r="E23" s="2"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</v>
      </c>
      <c r="V23" s="2">
        <v>0</v>
      </c>
      <c r="W23" s="2">
        <v>0</v>
      </c>
      <c r="X23" s="2">
        <v>0</v>
      </c>
      <c r="Y23" s="2">
        <v>0</v>
      </c>
    </row>
    <row r="24" spans="1:25">
      <c r="A24" s="13" t="s">
        <v>31</v>
      </c>
      <c r="B24" s="1" t="s">
        <v>27</v>
      </c>
      <c r="C24" s="33"/>
      <c r="D24" s="3" t="s">
        <v>20</v>
      </c>
      <c r="E24" s="2">
        <v>1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</v>
      </c>
      <c r="V24" s="2">
        <v>0</v>
      </c>
      <c r="W24" s="2">
        <v>0</v>
      </c>
      <c r="X24" s="2">
        <v>0</v>
      </c>
      <c r="Y24" s="2">
        <v>0</v>
      </c>
    </row>
    <row r="25" spans="1:25">
      <c r="A25" s="13" t="s">
        <v>32</v>
      </c>
      <c r="B25" s="1" t="s">
        <v>33</v>
      </c>
      <c r="C25" s="33"/>
      <c r="D25" s="3" t="s">
        <v>20</v>
      </c>
      <c r="E25" s="2">
        <v>3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1</v>
      </c>
      <c r="W25" s="2">
        <v>1</v>
      </c>
      <c r="X25" s="2">
        <v>1</v>
      </c>
      <c r="Y25" s="2">
        <v>0</v>
      </c>
    </row>
    <row r="26" spans="1:25">
      <c r="A26" s="13"/>
      <c r="B26" s="1"/>
      <c r="C26" s="33"/>
    </row>
    <row r="27" spans="1:25">
      <c r="A27" s="35" t="s">
        <v>34</v>
      </c>
      <c r="B27" s="1">
        <v>1</v>
      </c>
      <c r="C27" s="33" t="s">
        <v>27</v>
      </c>
      <c r="D27" s="3" t="s">
        <v>20</v>
      </c>
      <c r="E27" s="2">
        <v>1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1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</row>
    <row r="28" spans="1:25">
      <c r="A28" s="13" t="s">
        <v>35</v>
      </c>
      <c r="B28" s="1">
        <v>1</v>
      </c>
      <c r="C28" s="33" t="s">
        <v>27</v>
      </c>
      <c r="D28" s="3" t="s">
        <v>20</v>
      </c>
      <c r="E28" s="2">
        <v>1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1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</row>
    <row r="29" spans="1:25">
      <c r="A29" s="13" t="s">
        <v>36</v>
      </c>
      <c r="B29" s="1">
        <v>1</v>
      </c>
      <c r="C29" s="33" t="s">
        <v>27</v>
      </c>
      <c r="D29" s="3" t="s">
        <v>20</v>
      </c>
      <c r="E29" s="2">
        <v>1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</row>
    <row r="30" spans="1:25">
      <c r="A30" s="13"/>
      <c r="B30" s="1"/>
      <c r="C30" s="33"/>
    </row>
    <row r="31" spans="1:25">
      <c r="A31" s="13"/>
      <c r="B31" s="1"/>
      <c r="C31" s="33"/>
    </row>
    <row r="32" spans="1:25">
      <c r="A32" s="35" t="s">
        <v>37</v>
      </c>
      <c r="B32" s="1">
        <v>2</v>
      </c>
      <c r="C32" s="33" t="s">
        <v>27</v>
      </c>
      <c r="D32" s="3" t="s">
        <v>20</v>
      </c>
      <c r="E32" s="2">
        <v>1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</row>
    <row r="33" spans="1:25">
      <c r="A33" s="13" t="s">
        <v>35</v>
      </c>
      <c r="B33" s="1">
        <v>2</v>
      </c>
      <c r="C33" s="33" t="s">
        <v>27</v>
      </c>
      <c r="D33" s="3" t="s">
        <v>20</v>
      </c>
      <c r="E33" s="2">
        <v>1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1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</row>
    <row r="34" spans="1:25">
      <c r="A34" s="13" t="s">
        <v>38</v>
      </c>
      <c r="B34" s="1">
        <v>2</v>
      </c>
      <c r="C34" s="33" t="s">
        <v>27</v>
      </c>
      <c r="D34" s="3" t="s">
        <v>20</v>
      </c>
      <c r="E34" s="2">
        <v>1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1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</row>
    <row r="35" spans="1:25">
      <c r="A35" s="13"/>
      <c r="B35" s="1"/>
      <c r="C35" s="33"/>
    </row>
    <row r="36" spans="1:25">
      <c r="A36" s="35" t="s">
        <v>39</v>
      </c>
      <c r="B36" s="1">
        <v>3</v>
      </c>
      <c r="C36" s="33" t="s">
        <v>40</v>
      </c>
      <c r="D36" s="3" t="s">
        <v>20</v>
      </c>
      <c r="E36" s="2">
        <v>1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</v>
      </c>
      <c r="X36" s="2">
        <v>0</v>
      </c>
      <c r="Y36" s="2">
        <v>0</v>
      </c>
    </row>
    <row r="37" spans="1:25">
      <c r="A37" s="13" t="s">
        <v>35</v>
      </c>
      <c r="B37" s="1">
        <v>3</v>
      </c>
      <c r="C37" s="33" t="s">
        <v>40</v>
      </c>
      <c r="D37" s="3" t="s">
        <v>20</v>
      </c>
      <c r="E37" s="2">
        <v>1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0</v>
      </c>
    </row>
    <row r="38" spans="1:25">
      <c r="A38" s="13" t="s">
        <v>41</v>
      </c>
      <c r="B38" s="1">
        <v>3</v>
      </c>
      <c r="C38" s="33" t="s">
        <v>40</v>
      </c>
      <c r="D38" s="3" t="s">
        <v>20</v>
      </c>
      <c r="E38" s="2">
        <v>1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</v>
      </c>
      <c r="X38" s="2">
        <v>0</v>
      </c>
      <c r="Y38" s="2">
        <v>0</v>
      </c>
    </row>
    <row r="39" spans="1:25">
      <c r="A39" s="13"/>
      <c r="B39" s="1"/>
      <c r="C39" s="33"/>
    </row>
    <row r="40" spans="1:25">
      <c r="A40" s="35" t="s">
        <v>42</v>
      </c>
      <c r="B40" s="1">
        <v>4</v>
      </c>
      <c r="C40" s="33" t="s">
        <v>40</v>
      </c>
      <c r="D40" s="3" t="s">
        <v>20</v>
      </c>
      <c r="E40" s="2">
        <v>1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1</v>
      </c>
      <c r="Y40" s="2">
        <v>0</v>
      </c>
    </row>
    <row r="41" spans="1:25">
      <c r="A41" s="13" t="s">
        <v>35</v>
      </c>
      <c r="B41" s="1">
        <v>4</v>
      </c>
      <c r="C41" s="33" t="s">
        <v>40</v>
      </c>
      <c r="D41" s="3" t="s">
        <v>20</v>
      </c>
      <c r="E41" s="2">
        <v>1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1</v>
      </c>
      <c r="Y41" s="2">
        <v>0</v>
      </c>
    </row>
    <row r="42" spans="1:25">
      <c r="A42" s="13" t="s">
        <v>43</v>
      </c>
      <c r="B42" s="1">
        <v>4</v>
      </c>
      <c r="C42" s="33" t="s">
        <v>40</v>
      </c>
      <c r="D42" s="3" t="s">
        <v>20</v>
      </c>
      <c r="E42" s="2">
        <v>1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1</v>
      </c>
      <c r="Y42" s="2">
        <v>0</v>
      </c>
    </row>
    <row r="43" spans="1:25">
      <c r="A43" s="13"/>
      <c r="B43" s="1"/>
      <c r="C43" s="33"/>
    </row>
    <row r="44" spans="1:25">
      <c r="A44" s="13" t="s">
        <v>44</v>
      </c>
      <c r="B44" s="1">
        <v>5</v>
      </c>
      <c r="C44" s="33" t="s">
        <v>29</v>
      </c>
      <c r="D44" s="3" t="s">
        <v>20</v>
      </c>
      <c r="E44" s="2">
        <v>1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</row>
    <row r="45" spans="1:25">
      <c r="A45" s="13" t="s">
        <v>35</v>
      </c>
      <c r="B45" s="1">
        <v>5</v>
      </c>
      <c r="C45" s="33" t="s">
        <v>29</v>
      </c>
      <c r="D45" s="3" t="s">
        <v>20</v>
      </c>
      <c r="E45" s="2">
        <v>1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</row>
    <row r="46" spans="1:25">
      <c r="A46" s="13" t="s">
        <v>45</v>
      </c>
      <c r="B46" s="1">
        <v>5</v>
      </c>
      <c r="C46" s="33" t="s">
        <v>29</v>
      </c>
      <c r="D46" s="3" t="s">
        <v>20</v>
      </c>
      <c r="E46" s="2">
        <v>1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</row>
    <row r="47" spans="1:25">
      <c r="A47" s="13"/>
      <c r="B47" s="1"/>
      <c r="C47" s="33"/>
    </row>
    <row r="48" spans="1:25">
      <c r="A48" s="35" t="s">
        <v>46</v>
      </c>
      <c r="B48" s="1">
        <v>6</v>
      </c>
      <c r="C48" s="33" t="s">
        <v>29</v>
      </c>
      <c r="D48" s="3" t="s">
        <v>20</v>
      </c>
      <c r="E48" s="2">
        <v>1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</row>
    <row r="49" spans="1:25">
      <c r="A49" s="13" t="s">
        <v>35</v>
      </c>
      <c r="B49" s="1">
        <v>6</v>
      </c>
      <c r="C49" s="33" t="s">
        <v>29</v>
      </c>
      <c r="D49" s="3" t="s">
        <v>20</v>
      </c>
      <c r="E49" s="2">
        <v>1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</row>
    <row r="50" spans="1:25">
      <c r="A50" s="13" t="s">
        <v>47</v>
      </c>
      <c r="B50" s="1">
        <v>6</v>
      </c>
      <c r="C50" s="33" t="s">
        <v>29</v>
      </c>
      <c r="D50" s="3" t="s">
        <v>20</v>
      </c>
      <c r="E50" s="2">
        <v>1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</row>
    <row r="51" spans="1:25">
      <c r="A51" s="13"/>
      <c r="B51" s="1"/>
      <c r="C51" s="33"/>
    </row>
    <row r="52" spans="1:25">
      <c r="A52" s="13" t="s">
        <v>48</v>
      </c>
      <c r="B52" s="1">
        <v>7</v>
      </c>
      <c r="C52" s="33" t="s">
        <v>27</v>
      </c>
      <c r="D52" s="3" t="s">
        <v>20</v>
      </c>
      <c r="E52" s="2">
        <v>1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1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</row>
    <row r="53" spans="1:25" ht="15" customHeight="1">
      <c r="A53" s="13" t="s">
        <v>35</v>
      </c>
      <c r="B53" s="1">
        <v>7</v>
      </c>
      <c r="C53" s="13" t="s">
        <v>29</v>
      </c>
      <c r="D53" s="3" t="s">
        <v>20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1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</row>
    <row r="54" spans="1:25" ht="15" customHeight="1">
      <c r="A54" s="13" t="s">
        <v>49</v>
      </c>
      <c r="B54" s="1">
        <v>7</v>
      </c>
      <c r="C54" s="13" t="s">
        <v>40</v>
      </c>
      <c r="D54" s="3" t="s">
        <v>20</v>
      </c>
      <c r="E54" s="2">
        <v>1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1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</row>
    <row r="55" spans="1:25">
      <c r="A55" s="14"/>
      <c r="B55" s="1"/>
    </row>
    <row r="56" spans="1:25">
      <c r="A56" s="14"/>
      <c r="B56" s="1"/>
    </row>
    <row r="57" spans="1:25">
      <c r="A57" s="12"/>
      <c r="B57" s="1"/>
    </row>
    <row r="58" spans="1:25">
      <c r="A58" s="14"/>
      <c r="B58" s="1"/>
      <c r="C58" s="13"/>
    </row>
    <row r="59" spans="1:25">
      <c r="A59" s="12"/>
      <c r="B59" s="1"/>
      <c r="C59" s="13"/>
    </row>
    <row r="60" spans="1:25">
      <c r="A60" s="14"/>
      <c r="B60" s="1"/>
      <c r="C60" s="13"/>
    </row>
    <row r="61" spans="1:25">
      <c r="A61" s="14"/>
      <c r="B61" s="1"/>
    </row>
    <row r="62" spans="1:25">
      <c r="B62" s="1"/>
    </row>
    <row r="63" spans="1:25">
      <c r="A63" s="13"/>
      <c r="B63" s="1"/>
    </row>
    <row r="64" spans="1:25">
      <c r="A64" s="12"/>
      <c r="B64" s="1"/>
    </row>
    <row r="65" spans="1:10">
      <c r="A65" s="12"/>
      <c r="B65" s="1"/>
    </row>
    <row r="66" spans="1:10">
      <c r="A66" s="14"/>
      <c r="B66" s="1"/>
    </row>
    <row r="67" spans="1:10">
      <c r="A67" s="14"/>
      <c r="B67" s="1"/>
    </row>
    <row r="68" spans="1:10">
      <c r="A68" s="14"/>
      <c r="B68" s="1"/>
      <c r="C68" s="13"/>
    </row>
    <row r="69" spans="1:10">
      <c r="B69" s="1"/>
    </row>
    <row r="70" spans="1:10">
      <c r="B70" s="1"/>
    </row>
    <row r="71" spans="1:10">
      <c r="A71" s="13"/>
      <c r="B71" s="1"/>
    </row>
    <row r="72" spans="1:10">
      <c r="A72" s="12"/>
      <c r="B72" s="1"/>
    </row>
    <row r="73" spans="1:10">
      <c r="A73" s="14"/>
      <c r="B73" s="1"/>
    </row>
    <row r="74" spans="1:10">
      <c r="A74" s="14"/>
      <c r="B74" s="1"/>
    </row>
    <row r="75" spans="1:10">
      <c r="A75" s="14"/>
      <c r="B75" s="1"/>
    </row>
    <row r="76" spans="1:10">
      <c r="B76" s="1"/>
    </row>
    <row r="77" spans="1:10">
      <c r="B77" s="1"/>
    </row>
    <row r="78" spans="1:10">
      <c r="A78" s="13"/>
      <c r="B78" s="1"/>
    </row>
    <row r="79" spans="1:10">
      <c r="A79" s="12"/>
      <c r="B79" s="1"/>
    </row>
    <row r="80" spans="1:10">
      <c r="A80" s="14"/>
      <c r="B80" s="1"/>
      <c r="C80" s="33"/>
      <c r="F80" s="1"/>
      <c r="G80" s="1"/>
      <c r="H80" s="1"/>
      <c r="I80" s="1"/>
      <c r="J80" s="1"/>
    </row>
    <row r="81" spans="1:10">
      <c r="A81" s="14"/>
      <c r="B81" s="1"/>
      <c r="C81" s="33"/>
      <c r="F81" s="1"/>
      <c r="G81" s="1"/>
      <c r="H81" s="1"/>
      <c r="I81" s="1"/>
      <c r="J81" s="1"/>
    </row>
    <row r="82" spans="1:10">
      <c r="A82" s="14"/>
      <c r="B82" s="1"/>
      <c r="C82" s="33"/>
    </row>
    <row r="83" spans="1:10">
      <c r="A83" s="14"/>
      <c r="B83" s="1"/>
      <c r="C83" s="33"/>
      <c r="F83" s="1"/>
      <c r="G83" s="1"/>
      <c r="H83" s="1"/>
      <c r="I83" s="1"/>
    </row>
    <row r="84" spans="1:10">
      <c r="B84" s="1"/>
      <c r="C84" s="33"/>
      <c r="F84" s="1"/>
      <c r="G84" s="1"/>
      <c r="H84" s="1"/>
      <c r="I84" s="1"/>
    </row>
    <row r="85" spans="1:10">
      <c r="A85" s="13"/>
      <c r="B85" s="1"/>
      <c r="C85" s="33"/>
    </row>
    <row r="86" spans="1:10">
      <c r="A86" s="12"/>
      <c r="B86" s="1"/>
      <c r="C86" s="33"/>
    </row>
    <row r="87" spans="1:10">
      <c r="A87" s="14"/>
      <c r="B87" s="1"/>
      <c r="C87" s="33"/>
      <c r="F87" s="1"/>
      <c r="G87" s="1"/>
      <c r="H87" s="1"/>
      <c r="I87" s="1"/>
      <c r="J87" s="1"/>
    </row>
    <row r="88" spans="1:10">
      <c r="A88" s="14"/>
      <c r="B88" s="1"/>
      <c r="C88" s="33"/>
      <c r="F88" s="1"/>
      <c r="G88" s="1"/>
      <c r="H88" s="1"/>
      <c r="I88" s="1"/>
      <c r="J88" s="1"/>
    </row>
    <row r="89" spans="1:10">
      <c r="A89" s="14"/>
      <c r="B89" s="1"/>
      <c r="C89" s="33"/>
    </row>
    <row r="90" spans="1:10">
      <c r="A90" s="14"/>
      <c r="B90" s="1"/>
      <c r="C90" s="33"/>
      <c r="F90" s="1"/>
      <c r="G90" s="1"/>
      <c r="H90" s="1"/>
      <c r="I90" s="1"/>
    </row>
    <row r="91" spans="1:10">
      <c r="A91" s="14"/>
      <c r="B91" s="1"/>
      <c r="C91" s="33"/>
      <c r="F91" s="1"/>
      <c r="G91" s="1"/>
      <c r="H91" s="1"/>
      <c r="I91" s="1"/>
    </row>
    <row r="92" spans="1:10">
      <c r="A92" s="13"/>
      <c r="B92" s="1"/>
      <c r="C92" s="33"/>
    </row>
    <row r="93" spans="1:10">
      <c r="A93" s="13"/>
      <c r="B93" s="1"/>
      <c r="C93" s="33"/>
    </row>
  </sheetData>
  <phoneticPr fontId="2" type="noConversion"/>
  <conditionalFormatting sqref="D72:E73 C86:AD86 D79:E79 D74:D75 E74:E78 A83:D83 F79:AD85 F87:AD93 A90:D93 C80:D82 C87:D89 B84:D84 C85:D85 B85:B89 B27:AD27 F55:AD75 D53:D71 A53:B75 B35:AD35 B43:AD43 A42:A47 A15:AD26 A28:AD31 B32:E34 Z32:AD34 A39:AD39 A36:E38 Z36:AD38 B40:E42 Z40:AD42 B47:AD47 B44:E46 Z44:AD46 B51:AD51 B48:E50 Z48:AD50 B52:E52 Z52:AD54">
    <cfRule type="expression" dxfId="57" priority="145" stopIfTrue="1">
      <formula>$D15="Done"</formula>
    </cfRule>
    <cfRule type="expression" dxfId="56" priority="146" stopIfTrue="1">
      <formula>$D15="Ongoing"</formula>
    </cfRule>
  </conditionalFormatting>
  <conditionalFormatting sqref="B76 F76:AD76 D76">
    <cfRule type="expression" dxfId="55" priority="61" stopIfTrue="1">
      <formula>$D76="Done"</formula>
    </cfRule>
    <cfRule type="expression" dxfId="54" priority="62" stopIfTrue="1">
      <formula>$D76="Ongoing"</formula>
    </cfRule>
  </conditionalFormatting>
  <conditionalFormatting sqref="A76">
    <cfRule type="expression" dxfId="53" priority="59" stopIfTrue="1">
      <formula>$D76="Done"</formula>
    </cfRule>
    <cfRule type="expression" dxfId="52" priority="60" stopIfTrue="1">
      <formula>$D76="Ongoing"</formula>
    </cfRule>
  </conditionalFormatting>
  <conditionalFormatting sqref="F77:AD77 D77 B77:B82">
    <cfRule type="expression" dxfId="51" priority="57" stopIfTrue="1">
      <formula>$D77="Done"</formula>
    </cfRule>
    <cfRule type="expression" dxfId="50" priority="58" stopIfTrue="1">
      <formula>$D77="Ongoing"</formula>
    </cfRule>
  </conditionalFormatting>
  <conditionalFormatting sqref="D78 F78:AD78">
    <cfRule type="expression" dxfId="49" priority="53" stopIfTrue="1">
      <formula>$D78="Done"</formula>
    </cfRule>
    <cfRule type="expression" dxfId="48" priority="54" stopIfTrue="1">
      <formula>$D78="Ongoing"</formula>
    </cfRule>
  </conditionalFormatting>
  <conditionalFormatting sqref="A77:A82">
    <cfRule type="expression" dxfId="47" priority="45" stopIfTrue="1">
      <formula>$D77="Done"</formula>
    </cfRule>
    <cfRule type="expression" dxfId="46" priority="46" stopIfTrue="1">
      <formula>$D77="Ongoing"</formula>
    </cfRule>
  </conditionalFormatting>
  <conditionalFormatting sqref="A84:A89">
    <cfRule type="expression" dxfId="45" priority="43" stopIfTrue="1">
      <formula>$D84="Done"</formula>
    </cfRule>
    <cfRule type="expression" dxfId="44" priority="44" stopIfTrue="1">
      <formula>$D84="Ongoing"</formula>
    </cfRule>
  </conditionalFormatting>
  <conditionalFormatting sqref="A33">
    <cfRule type="expression" dxfId="43" priority="41" stopIfTrue="1">
      <formula>$D33="Done"</formula>
    </cfRule>
    <cfRule type="expression" dxfId="42" priority="42" stopIfTrue="1">
      <formula>$D33="Ongoing"</formula>
    </cfRule>
  </conditionalFormatting>
  <conditionalFormatting sqref="A40">
    <cfRule type="expression" dxfId="41" priority="39" stopIfTrue="1">
      <formula>$D40="Done"</formula>
    </cfRule>
    <cfRule type="expression" dxfId="40" priority="40" stopIfTrue="1">
      <formula>$D40="Ongoing"</formula>
    </cfRule>
  </conditionalFormatting>
  <conditionalFormatting sqref="A41">
    <cfRule type="expression" dxfId="39" priority="37" stopIfTrue="1">
      <formula>$D41="Done"</formula>
    </cfRule>
    <cfRule type="expression" dxfId="38" priority="38" stopIfTrue="1">
      <formula>$D41="Ongoing"</formula>
    </cfRule>
  </conditionalFormatting>
  <conditionalFormatting sqref="A48">
    <cfRule type="expression" dxfId="37" priority="31" stopIfTrue="1">
      <formula>$D48="Done"</formula>
    </cfRule>
    <cfRule type="expression" dxfId="36" priority="32" stopIfTrue="1">
      <formula>$D48="Ongoing"</formula>
    </cfRule>
  </conditionalFormatting>
  <conditionalFormatting sqref="A49 A52">
    <cfRule type="expression" dxfId="35" priority="29" stopIfTrue="1">
      <formula>$D49="Done"</formula>
    </cfRule>
    <cfRule type="expression" dxfId="34" priority="30" stopIfTrue="1">
      <formula>$D49="Ongoing"</formula>
    </cfRule>
  </conditionalFormatting>
  <conditionalFormatting sqref="A34:A35">
    <cfRule type="expression" dxfId="33" priority="27" stopIfTrue="1">
      <formula>$D34="Done"</formula>
    </cfRule>
    <cfRule type="expression" dxfId="32" priority="28" stopIfTrue="1">
      <formula>$D34="Ongoing"</formula>
    </cfRule>
  </conditionalFormatting>
  <conditionalFormatting sqref="A50:A51">
    <cfRule type="expression" dxfId="31" priority="21" stopIfTrue="1">
      <formula>$D50="Done"</formula>
    </cfRule>
    <cfRule type="expression" dxfId="30" priority="22" stopIfTrue="1">
      <formula>$D50="Ongoing"</formula>
    </cfRule>
  </conditionalFormatting>
  <conditionalFormatting sqref="F32:Y34">
    <cfRule type="expression" dxfId="29" priority="11" stopIfTrue="1">
      <formula>$D32="Done"</formula>
    </cfRule>
    <cfRule type="expression" dxfId="28" priority="12" stopIfTrue="1">
      <formula>$D32="Ongoing"</formula>
    </cfRule>
  </conditionalFormatting>
  <conditionalFormatting sqref="F36:Y38">
    <cfRule type="expression" dxfId="27" priority="9" stopIfTrue="1">
      <formula>$D36="Done"</formula>
    </cfRule>
    <cfRule type="expression" dxfId="26" priority="10" stopIfTrue="1">
      <formula>$D36="Ongoing"</formula>
    </cfRule>
  </conditionalFormatting>
  <conditionalFormatting sqref="F40:Y42">
    <cfRule type="expression" dxfId="25" priority="7" stopIfTrue="1">
      <formula>$D40="Done"</formula>
    </cfRule>
    <cfRule type="expression" dxfId="24" priority="8" stopIfTrue="1">
      <formula>$D40="Ongoing"</formula>
    </cfRule>
  </conditionalFormatting>
  <conditionalFormatting sqref="F44:Y46">
    <cfRule type="expression" dxfId="23" priority="5" stopIfTrue="1">
      <formula>$D44="Done"</formula>
    </cfRule>
    <cfRule type="expression" dxfId="22" priority="6" stopIfTrue="1">
      <formula>$D44="Ongoing"</formula>
    </cfRule>
  </conditionalFormatting>
  <conditionalFormatting sqref="F48:Y50">
    <cfRule type="expression" dxfId="21" priority="3" stopIfTrue="1">
      <formula>$D48="Done"</formula>
    </cfRule>
    <cfRule type="expression" dxfId="20" priority="4" stopIfTrue="1">
      <formula>$D48="Ongoing"</formula>
    </cfRule>
  </conditionalFormatting>
  <conditionalFormatting sqref="F52:Y54">
    <cfRule type="expression" dxfId="19" priority="1" stopIfTrue="1">
      <formula>$D52="Done"</formula>
    </cfRule>
    <cfRule type="expression" dxfId="18" priority="2" stopIfTrue="1">
      <formula>$D52="Ongoing"</formula>
    </cfRule>
  </conditionalFormatting>
  <dataValidations count="1">
    <dataValidation type="list" allowBlank="1" showInputMessage="1" sqref="D3:D8 D15:D93" xr:uid="{00000000-0002-0000-00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D83"/>
  <sheetViews>
    <sheetView workbookViewId="0" xr3:uid="{842E5F09-E766-5B8D-85AF-A39847EA96FD}">
      <pane ySplit="14" topLeftCell="A15" activePane="bottomLeft" state="frozen"/>
      <selection pane="bottomLeft" activeCell="E24" sqref="E24"/>
    </sheetView>
  </sheetViews>
  <sheetFormatPr defaultColWidth="9.140625" defaultRowHeight="12.6"/>
  <cols>
    <col min="1" max="1" width="43.42578125" style="16" customWidth="1"/>
    <col min="2" max="2" width="8.5703125" style="17" customWidth="1"/>
    <col min="3" max="3" width="13.7109375" style="16" customWidth="1"/>
    <col min="4" max="4" width="10.85546875" style="16" customWidth="1"/>
    <col min="5" max="5" width="9.140625" style="17" customWidth="1"/>
    <col min="6" max="30" width="4.42578125" style="17" customWidth="1"/>
    <col min="31" max="16384" width="9.140625" style="16"/>
  </cols>
  <sheetData>
    <row r="1" spans="1:30" ht="17.45">
      <c r="A1" s="32" t="s">
        <v>0</v>
      </c>
      <c r="B1" s="31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1:30" ht="12.95">
      <c r="A2" s="30" t="s">
        <v>50</v>
      </c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</row>
    <row r="4" spans="1:30">
      <c r="A4" s="29" t="s">
        <v>51</v>
      </c>
    </row>
    <row r="5" spans="1:30">
      <c r="A5" s="29" t="s">
        <v>52</v>
      </c>
    </row>
    <row r="9" spans="1:30" ht="12.95">
      <c r="A9" s="24" t="s">
        <v>2</v>
      </c>
      <c r="B9" s="27">
        <v>20</v>
      </c>
      <c r="C9" s="24"/>
      <c r="D9" s="28"/>
      <c r="E9" s="24" t="s">
        <v>53</v>
      </c>
      <c r="F9" s="24" t="s">
        <v>4</v>
      </c>
      <c r="G9" s="24"/>
      <c r="H9" s="24"/>
      <c r="I9" s="24"/>
      <c r="J9" s="24"/>
      <c r="K9" s="24"/>
      <c r="L9" s="24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</row>
    <row r="10" spans="1:30" ht="12.95">
      <c r="A10" s="24" t="s">
        <v>5</v>
      </c>
      <c r="B10" s="27">
        <v>20</v>
      </c>
      <c r="C10" s="24"/>
      <c r="D10" s="24" t="s">
        <v>7</v>
      </c>
      <c r="E10" s="26">
        <f>$E$24</f>
        <v>0</v>
      </c>
      <c r="F10" s="26">
        <v>47</v>
      </c>
      <c r="G10" s="26">
        <v>47</v>
      </c>
      <c r="H10" s="26">
        <v>47</v>
      </c>
      <c r="I10" s="26">
        <v>47</v>
      </c>
      <c r="J10" s="26">
        <v>47</v>
      </c>
      <c r="K10" s="26">
        <v>47</v>
      </c>
      <c r="L10" s="26">
        <v>47</v>
      </c>
      <c r="M10" s="26">
        <v>47</v>
      </c>
      <c r="N10" s="26">
        <v>42</v>
      </c>
      <c r="O10" s="26">
        <v>42</v>
      </c>
      <c r="P10" s="26">
        <v>37</v>
      </c>
      <c r="Q10" s="26">
        <v>37</v>
      </c>
      <c r="R10" s="26">
        <v>29</v>
      </c>
      <c r="S10" s="26">
        <v>24</v>
      </c>
      <c r="T10" s="26">
        <v>24</v>
      </c>
      <c r="U10" s="26">
        <v>16</v>
      </c>
      <c r="V10" s="26">
        <v>16</v>
      </c>
      <c r="W10" s="26">
        <v>16</v>
      </c>
      <c r="X10" s="26">
        <v>8</v>
      </c>
      <c r="Y10" s="26">
        <v>0</v>
      </c>
      <c r="Z10" s="26" t="str">
        <f t="shared" ref="Z10:AD10" ca="1" si="0">IF(AND(SUM(OFFSET(Z14,1,0,TaskRows,1))=0),"",SUM(OFFSET(Z14,1,0,TaskRows,1)))</f>
        <v/>
      </c>
      <c r="AA10" s="26" t="str">
        <f t="shared" ca="1" si="0"/>
        <v/>
      </c>
      <c r="AB10" s="26" t="str">
        <f t="shared" ca="1" si="0"/>
        <v/>
      </c>
      <c r="AC10" s="26" t="str">
        <f t="shared" ca="1" si="0"/>
        <v/>
      </c>
      <c r="AD10" s="26" t="str">
        <f t="shared" ca="1" si="0"/>
        <v/>
      </c>
    </row>
    <row r="11" spans="1:30" s="18" customFormat="1" hidden="1">
      <c r="A11" s="18" t="s">
        <v>8</v>
      </c>
      <c r="B11" s="20">
        <f>IF(COUNTA(A23:A238)=0,1,COUNTA(A23:A238))</f>
        <v>1</v>
      </c>
      <c r="C11" s="18" t="s">
        <v>9</v>
      </c>
      <c r="D11" s="20">
        <f ca="1">IF(COUNTIF(F10:AD10,"&gt;0")=0,1,COUNTIF(F10:AD10,"&gt;0"))</f>
        <v>19</v>
      </c>
      <c r="E11" s="20"/>
      <c r="F11" s="20">
        <f>IF(F14="","",$E10-$E10/($B9-1)*(F14-1))</f>
        <v>0</v>
      </c>
      <c r="G11" s="20">
        <f t="shared" ref="G11:AD11" si="1">IF(G14="","",TotalEffort-TotalEffort/(ImplementationDays)*(G14-1))</f>
        <v>0</v>
      </c>
      <c r="H11" s="20">
        <f t="shared" si="1"/>
        <v>0</v>
      </c>
      <c r="I11" s="20">
        <f t="shared" si="1"/>
        <v>0</v>
      </c>
      <c r="J11" s="20">
        <f t="shared" si="1"/>
        <v>0</v>
      </c>
      <c r="K11" s="20">
        <f t="shared" si="1"/>
        <v>0</v>
      </c>
      <c r="L11" s="20">
        <f t="shared" si="1"/>
        <v>0</v>
      </c>
      <c r="M11" s="20">
        <f t="shared" si="1"/>
        <v>0</v>
      </c>
      <c r="N11" s="20">
        <f t="shared" si="1"/>
        <v>0</v>
      </c>
      <c r="O11" s="20">
        <f t="shared" si="1"/>
        <v>0</v>
      </c>
      <c r="P11" s="20">
        <f t="shared" si="1"/>
        <v>0</v>
      </c>
      <c r="Q11" s="20">
        <f t="shared" si="1"/>
        <v>0</v>
      </c>
      <c r="R11" s="20">
        <f t="shared" si="1"/>
        <v>0</v>
      </c>
      <c r="S11" s="20">
        <f t="shared" si="1"/>
        <v>0</v>
      </c>
      <c r="T11" s="20">
        <f t="shared" si="1"/>
        <v>0</v>
      </c>
      <c r="U11" s="20">
        <f t="shared" si="1"/>
        <v>0</v>
      </c>
      <c r="V11" s="20">
        <f t="shared" si="1"/>
        <v>0</v>
      </c>
      <c r="W11" s="20">
        <f t="shared" si="1"/>
        <v>0</v>
      </c>
      <c r="X11" s="20">
        <f t="shared" si="1"/>
        <v>0</v>
      </c>
      <c r="Y11" s="20">
        <f t="shared" si="1"/>
        <v>0</v>
      </c>
      <c r="Z11" s="20" t="str">
        <f t="shared" si="1"/>
        <v/>
      </c>
      <c r="AA11" s="20" t="str">
        <f t="shared" si="1"/>
        <v/>
      </c>
      <c r="AB11" s="20" t="str">
        <f t="shared" si="1"/>
        <v/>
      </c>
      <c r="AC11" s="20" t="str">
        <f t="shared" si="1"/>
        <v/>
      </c>
      <c r="AD11" s="20" t="str">
        <f t="shared" si="1"/>
        <v/>
      </c>
    </row>
    <row r="12" spans="1:30" s="18" customFormat="1" ht="12.95" hidden="1">
      <c r="A12" s="25" t="s">
        <v>10</v>
      </c>
      <c r="C12" s="18" t="s">
        <v>11</v>
      </c>
      <c r="D12" s="20"/>
      <c r="E12" s="20"/>
      <c r="F12" s="20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55.442105263157892</v>
      </c>
      <c r="G12" s="20">
        <f t="shared" ca="1" si="2"/>
        <v>53.18245614035088</v>
      </c>
      <c r="H12" s="20">
        <f t="shared" ca="1" si="2"/>
        <v>50.92280701754386</v>
      </c>
      <c r="I12" s="20">
        <f t="shared" ca="1" si="2"/>
        <v>48.663157894736841</v>
      </c>
      <c r="J12" s="20">
        <f t="shared" ca="1" si="2"/>
        <v>46.403508771929822</v>
      </c>
      <c r="K12" s="20">
        <f t="shared" ca="1" si="2"/>
        <v>44.14385964912281</v>
      </c>
      <c r="L12" s="20">
        <f t="shared" ca="1" si="2"/>
        <v>41.88421052631579</v>
      </c>
      <c r="M12" s="20">
        <f t="shared" ca="1" si="2"/>
        <v>39.624561403508778</v>
      </c>
      <c r="N12" s="20">
        <f t="shared" ca="1" si="2"/>
        <v>37.364912280701759</v>
      </c>
      <c r="O12" s="20">
        <f t="shared" ca="1" si="2"/>
        <v>35.10526315789474</v>
      </c>
      <c r="P12" s="20">
        <f t="shared" ca="1" si="2"/>
        <v>32.845614035087721</v>
      </c>
      <c r="Q12" s="20">
        <f t="shared" ca="1" si="2"/>
        <v>30.585964912280708</v>
      </c>
      <c r="R12" s="20">
        <f t="shared" ca="1" si="2"/>
        <v>28.326315789473689</v>
      </c>
      <c r="S12" s="20">
        <f t="shared" ca="1" si="2"/>
        <v>26.066666666666674</v>
      </c>
      <c r="T12" s="20">
        <f t="shared" ca="1" si="2"/>
        <v>23.807017543859658</v>
      </c>
      <c r="U12" s="20">
        <f t="shared" ca="1" si="2"/>
        <v>21.547368421052639</v>
      </c>
      <c r="V12" s="20">
        <f t="shared" ca="1" si="2"/>
        <v>19.287719298245619</v>
      </c>
      <c r="W12" s="20">
        <f t="shared" ca="1" si="2"/>
        <v>17.028070175438607</v>
      </c>
      <c r="X12" s="20">
        <f t="shared" ca="1" si="2"/>
        <v>14.768421052631588</v>
      </c>
      <c r="Y12" s="20">
        <f t="shared" ca="1" si="2"/>
        <v>12.508771929824569</v>
      </c>
      <c r="Z12" s="20">
        <f t="shared" ca="1" si="2"/>
        <v>10.249122807017557</v>
      </c>
      <c r="AA12" s="20">
        <f t="shared" ca="1" si="2"/>
        <v>7.9894736842105374</v>
      </c>
      <c r="AB12" s="20">
        <f t="shared" ca="1" si="2"/>
        <v>5.7298245614035181</v>
      </c>
      <c r="AC12" s="20">
        <f t="shared" ca="1" si="2"/>
        <v>3.470175438596506</v>
      </c>
      <c r="AD12" s="20">
        <f t="shared" ca="1" si="2"/>
        <v>1.2105263157894868</v>
      </c>
    </row>
    <row r="13" spans="1:30" s="18" customFormat="1" ht="12.95" hidden="1">
      <c r="A13" s="25" t="s">
        <v>12</v>
      </c>
      <c r="C13" s="18" t="s">
        <v>13</v>
      </c>
      <c r="D13" s="20">
        <f ca="1">IF(DoneDays&gt;B10,B10,DoneDays)</f>
        <v>19</v>
      </c>
      <c r="E13" s="20"/>
      <c r="F13" s="20">
        <f ca="1">IF(DoneDays&gt;E13,E13+1,"")</f>
        <v>1</v>
      </c>
      <c r="G13" s="20">
        <v>2</v>
      </c>
      <c r="H13" s="20">
        <v>3</v>
      </c>
      <c r="I13" s="20">
        <v>4</v>
      </c>
      <c r="J13" s="20">
        <v>5</v>
      </c>
      <c r="K13" s="20">
        <v>6</v>
      </c>
      <c r="L13" s="20">
        <v>7</v>
      </c>
      <c r="M13" s="20">
        <v>8</v>
      </c>
      <c r="N13" s="20">
        <v>9</v>
      </c>
      <c r="O13" s="20">
        <v>10</v>
      </c>
      <c r="P13" s="20">
        <v>11</v>
      </c>
      <c r="Q13" s="20">
        <v>12</v>
      </c>
      <c r="R13" s="20">
        <v>13</v>
      </c>
      <c r="S13" s="20">
        <v>14</v>
      </c>
      <c r="T13" s="20">
        <v>15</v>
      </c>
      <c r="U13" s="20">
        <v>16</v>
      </c>
      <c r="V13" s="20">
        <v>17</v>
      </c>
      <c r="W13" s="20">
        <v>18</v>
      </c>
      <c r="X13" s="20">
        <v>19</v>
      </c>
      <c r="Y13" s="20">
        <v>20</v>
      </c>
      <c r="Z13" s="20">
        <v>21</v>
      </c>
      <c r="AA13" s="20">
        <v>22</v>
      </c>
      <c r="AB13" s="20">
        <v>23</v>
      </c>
      <c r="AC13" s="20">
        <v>24</v>
      </c>
      <c r="AD13" s="20">
        <v>25</v>
      </c>
    </row>
    <row r="14" spans="1:30" ht="12.95">
      <c r="A14" s="24" t="s">
        <v>54</v>
      </c>
      <c r="B14" s="23" t="s">
        <v>15</v>
      </c>
      <c r="C14" s="24" t="s">
        <v>55</v>
      </c>
      <c r="D14" s="24" t="s">
        <v>17</v>
      </c>
      <c r="E14" s="23" t="s">
        <v>18</v>
      </c>
      <c r="F14" s="23">
        <v>1</v>
      </c>
      <c r="G14" s="23">
        <f t="shared" ref="G14:AD14" si="3">IF($B$9&gt;F14,F14+1,"")</f>
        <v>2</v>
      </c>
      <c r="H14" s="23">
        <f t="shared" si="3"/>
        <v>3</v>
      </c>
      <c r="I14" s="23">
        <f t="shared" si="3"/>
        <v>4</v>
      </c>
      <c r="J14" s="23">
        <f t="shared" si="3"/>
        <v>5</v>
      </c>
      <c r="K14" s="23">
        <f t="shared" si="3"/>
        <v>6</v>
      </c>
      <c r="L14" s="23">
        <f t="shared" si="3"/>
        <v>7</v>
      </c>
      <c r="M14" s="23">
        <f t="shared" si="3"/>
        <v>8</v>
      </c>
      <c r="N14" s="23">
        <f t="shared" si="3"/>
        <v>9</v>
      </c>
      <c r="O14" s="23">
        <f t="shared" si="3"/>
        <v>10</v>
      </c>
      <c r="P14" s="23">
        <f t="shared" si="3"/>
        <v>11</v>
      </c>
      <c r="Q14" s="23">
        <f t="shared" si="3"/>
        <v>12</v>
      </c>
      <c r="R14" s="23">
        <f t="shared" si="3"/>
        <v>13</v>
      </c>
      <c r="S14" s="23">
        <f t="shared" si="3"/>
        <v>14</v>
      </c>
      <c r="T14" s="23">
        <f t="shared" si="3"/>
        <v>15</v>
      </c>
      <c r="U14" s="23">
        <f t="shared" si="3"/>
        <v>16</v>
      </c>
      <c r="V14" s="23">
        <f t="shared" si="3"/>
        <v>17</v>
      </c>
      <c r="W14" s="23">
        <f t="shared" si="3"/>
        <v>18</v>
      </c>
      <c r="X14" s="23">
        <f t="shared" si="3"/>
        <v>19</v>
      </c>
      <c r="Y14" s="23">
        <f t="shared" si="3"/>
        <v>20</v>
      </c>
      <c r="Z14" s="23" t="str">
        <f t="shared" si="3"/>
        <v/>
      </c>
      <c r="AA14" s="23" t="str">
        <f t="shared" si="3"/>
        <v/>
      </c>
      <c r="AB14" s="23" t="str">
        <f t="shared" si="3"/>
        <v/>
      </c>
      <c r="AC14" s="23" t="str">
        <f t="shared" si="3"/>
        <v/>
      </c>
      <c r="AD14" s="23" t="str">
        <f t="shared" si="3"/>
        <v/>
      </c>
    </row>
    <row r="15" spans="1:30" s="38" customFormat="1" ht="12.95">
      <c r="A15" s="36"/>
      <c r="B15" s="37"/>
      <c r="C15" s="36"/>
      <c r="D15" s="36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</row>
    <row r="16" spans="1:30" s="38" customFormat="1" ht="12.95">
      <c r="A16" s="36"/>
      <c r="B16" s="37"/>
      <c r="C16" s="36"/>
      <c r="D16" s="36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</row>
    <row r="17" spans="1:30" s="38" customFormat="1" ht="12.95">
      <c r="A17" s="35" t="s">
        <v>56</v>
      </c>
      <c r="B17" s="37">
        <v>1</v>
      </c>
      <c r="C17" s="36">
        <v>5</v>
      </c>
      <c r="D17" s="36"/>
      <c r="E17" s="37">
        <v>5</v>
      </c>
      <c r="F17" s="37">
        <v>5</v>
      </c>
      <c r="G17" s="37">
        <v>5</v>
      </c>
      <c r="H17" s="37">
        <v>5</v>
      </c>
      <c r="I17" s="37">
        <v>5</v>
      </c>
      <c r="J17" s="37">
        <v>5</v>
      </c>
      <c r="K17" s="37">
        <v>5</v>
      </c>
      <c r="L17" s="37">
        <v>5</v>
      </c>
      <c r="M17" s="37">
        <v>5</v>
      </c>
      <c r="N17" s="37">
        <v>0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/>
      <c r="AA17" s="37"/>
      <c r="AB17" s="37"/>
      <c r="AC17" s="37"/>
      <c r="AD17" s="37"/>
    </row>
    <row r="18" spans="1:30" s="38" customFormat="1" ht="12.95">
      <c r="A18" s="35" t="s">
        <v>57</v>
      </c>
      <c r="B18" s="37">
        <v>2</v>
      </c>
      <c r="C18" s="36">
        <v>5</v>
      </c>
      <c r="D18" s="36"/>
      <c r="E18" s="37">
        <v>5</v>
      </c>
      <c r="F18" s="37">
        <v>5</v>
      </c>
      <c r="G18" s="37">
        <v>5</v>
      </c>
      <c r="H18" s="37">
        <v>5</v>
      </c>
      <c r="I18" s="37">
        <v>5</v>
      </c>
      <c r="J18" s="37">
        <v>5</v>
      </c>
      <c r="K18" s="37">
        <v>5</v>
      </c>
      <c r="L18" s="37">
        <v>5</v>
      </c>
      <c r="M18" s="37">
        <v>5</v>
      </c>
      <c r="N18" s="37">
        <v>5</v>
      </c>
      <c r="O18" s="37">
        <v>5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/>
      <c r="AA18" s="37"/>
      <c r="AB18" s="37"/>
      <c r="AC18" s="37"/>
      <c r="AD18" s="37"/>
    </row>
    <row r="19" spans="1:30" s="38" customFormat="1" ht="12.95">
      <c r="A19" s="35" t="s">
        <v>58</v>
      </c>
      <c r="B19" s="37">
        <v>3</v>
      </c>
      <c r="C19" s="36">
        <v>8</v>
      </c>
      <c r="D19" s="36"/>
      <c r="E19" s="37">
        <v>8</v>
      </c>
      <c r="F19" s="37">
        <v>8</v>
      </c>
      <c r="G19" s="37">
        <v>8</v>
      </c>
      <c r="H19" s="37">
        <v>8</v>
      </c>
      <c r="I19" s="37">
        <v>8</v>
      </c>
      <c r="J19" s="37">
        <v>8</v>
      </c>
      <c r="K19" s="37">
        <v>8</v>
      </c>
      <c r="L19" s="37">
        <v>8</v>
      </c>
      <c r="M19" s="37">
        <v>8</v>
      </c>
      <c r="N19" s="37">
        <v>8</v>
      </c>
      <c r="O19" s="37">
        <v>8</v>
      </c>
      <c r="P19" s="37">
        <v>8</v>
      </c>
      <c r="Q19" s="37">
        <v>8</v>
      </c>
      <c r="R19" s="37">
        <v>8</v>
      </c>
      <c r="S19" s="37">
        <v>8</v>
      </c>
      <c r="T19" s="37">
        <v>8</v>
      </c>
      <c r="U19" s="37">
        <v>8</v>
      </c>
      <c r="V19" s="37">
        <v>8</v>
      </c>
      <c r="W19" s="37">
        <v>8</v>
      </c>
      <c r="X19" s="37">
        <v>0</v>
      </c>
      <c r="Y19" s="37">
        <v>0</v>
      </c>
      <c r="Z19" s="37"/>
      <c r="AA19" s="37"/>
      <c r="AB19" s="37"/>
      <c r="AC19" s="37"/>
      <c r="AD19" s="37"/>
    </row>
    <row r="20" spans="1:30" s="38" customFormat="1" ht="12.95">
      <c r="A20" s="35" t="s">
        <v>59</v>
      </c>
      <c r="B20" s="37">
        <v>4</v>
      </c>
      <c r="C20" s="36">
        <v>8</v>
      </c>
      <c r="D20" s="36"/>
      <c r="E20" s="37">
        <v>8</v>
      </c>
      <c r="F20" s="37">
        <v>8</v>
      </c>
      <c r="G20" s="37">
        <v>8</v>
      </c>
      <c r="H20" s="37">
        <v>8</v>
      </c>
      <c r="I20" s="37">
        <v>8</v>
      </c>
      <c r="J20" s="37">
        <v>8</v>
      </c>
      <c r="K20" s="37">
        <v>8</v>
      </c>
      <c r="L20" s="37">
        <v>8</v>
      </c>
      <c r="M20" s="37">
        <v>8</v>
      </c>
      <c r="N20" s="37">
        <v>8</v>
      </c>
      <c r="O20" s="37">
        <v>8</v>
      </c>
      <c r="P20" s="37">
        <v>8</v>
      </c>
      <c r="Q20" s="37">
        <v>8</v>
      </c>
      <c r="R20" s="37">
        <v>8</v>
      </c>
      <c r="S20" s="37">
        <v>8</v>
      </c>
      <c r="T20" s="37">
        <v>8</v>
      </c>
      <c r="U20" s="37">
        <v>8</v>
      </c>
      <c r="V20" s="37">
        <v>8</v>
      </c>
      <c r="W20" s="37">
        <v>8</v>
      </c>
      <c r="X20" s="37">
        <v>8</v>
      </c>
      <c r="Y20" s="37">
        <v>0</v>
      </c>
      <c r="Z20" s="37"/>
      <c r="AA20" s="37"/>
      <c r="AB20" s="37"/>
      <c r="AC20" s="37"/>
      <c r="AD20" s="37"/>
    </row>
    <row r="21" spans="1:30" s="38" customFormat="1" ht="12.95">
      <c r="A21" s="35" t="s">
        <v>60</v>
      </c>
      <c r="B21" s="37">
        <v>5</v>
      </c>
      <c r="C21" s="36">
        <v>8</v>
      </c>
      <c r="D21" s="36"/>
      <c r="E21" s="37">
        <v>8</v>
      </c>
      <c r="F21" s="37">
        <v>8</v>
      </c>
      <c r="G21" s="37">
        <v>8</v>
      </c>
      <c r="H21" s="37">
        <v>8</v>
      </c>
      <c r="I21" s="37">
        <v>8</v>
      </c>
      <c r="J21" s="37">
        <v>8</v>
      </c>
      <c r="K21" s="37">
        <v>8</v>
      </c>
      <c r="L21" s="37">
        <v>8</v>
      </c>
      <c r="M21" s="37">
        <v>8</v>
      </c>
      <c r="N21" s="37">
        <v>8</v>
      </c>
      <c r="O21" s="37">
        <v>8</v>
      </c>
      <c r="P21" s="37">
        <v>8</v>
      </c>
      <c r="Q21" s="37">
        <v>8</v>
      </c>
      <c r="R21" s="37">
        <v>0</v>
      </c>
      <c r="S21" s="37">
        <v>0</v>
      </c>
      <c r="T21" s="37">
        <v>0</v>
      </c>
      <c r="U21" s="37">
        <v>0</v>
      </c>
      <c r="V21" s="37">
        <v>0</v>
      </c>
      <c r="W21" s="37">
        <v>0</v>
      </c>
      <c r="X21" s="37">
        <v>0</v>
      </c>
      <c r="Y21" s="37">
        <v>0</v>
      </c>
      <c r="Z21" s="37"/>
      <c r="AA21" s="37"/>
      <c r="AB21" s="37"/>
      <c r="AC21" s="37"/>
      <c r="AD21" s="37"/>
    </row>
    <row r="22" spans="1:30" s="38" customFormat="1" ht="12.95">
      <c r="A22" s="35" t="s">
        <v>61</v>
      </c>
      <c r="B22" s="37">
        <v>6</v>
      </c>
      <c r="C22" s="36">
        <v>5</v>
      </c>
      <c r="D22" s="36"/>
      <c r="E22" s="37">
        <v>5</v>
      </c>
      <c r="F22" s="37">
        <v>5</v>
      </c>
      <c r="G22" s="37">
        <v>5</v>
      </c>
      <c r="H22" s="37">
        <v>5</v>
      </c>
      <c r="I22" s="37">
        <v>5</v>
      </c>
      <c r="J22" s="37">
        <v>5</v>
      </c>
      <c r="K22" s="37">
        <v>5</v>
      </c>
      <c r="L22" s="37">
        <v>5</v>
      </c>
      <c r="M22" s="37">
        <v>5</v>
      </c>
      <c r="N22" s="37">
        <v>5</v>
      </c>
      <c r="O22" s="37">
        <v>5</v>
      </c>
      <c r="P22" s="37">
        <v>5</v>
      </c>
      <c r="Q22" s="37">
        <v>5</v>
      </c>
      <c r="R22" s="37">
        <v>5</v>
      </c>
      <c r="S22" s="37">
        <v>0</v>
      </c>
      <c r="T22" s="37">
        <v>0</v>
      </c>
      <c r="U22" s="37">
        <v>0</v>
      </c>
      <c r="V22" s="37">
        <v>0</v>
      </c>
      <c r="W22" s="37">
        <v>0</v>
      </c>
      <c r="X22" s="37">
        <v>0</v>
      </c>
      <c r="Y22" s="37">
        <v>0</v>
      </c>
      <c r="Z22" s="37"/>
      <c r="AA22" s="37"/>
      <c r="AB22" s="37"/>
      <c r="AC22" s="37"/>
      <c r="AD22" s="37"/>
    </row>
    <row r="23" spans="1:30" ht="12.95">
      <c r="A23" s="34" t="s">
        <v>62</v>
      </c>
      <c r="B23" s="39">
        <v>7</v>
      </c>
      <c r="C23" s="20">
        <v>8</v>
      </c>
      <c r="E23" s="17">
        <v>8</v>
      </c>
      <c r="F23" s="17">
        <v>8</v>
      </c>
      <c r="G23" s="17">
        <v>8</v>
      </c>
      <c r="H23" s="17">
        <v>8</v>
      </c>
      <c r="I23" s="17">
        <v>8</v>
      </c>
      <c r="J23" s="17">
        <v>8</v>
      </c>
      <c r="K23" s="17">
        <v>8</v>
      </c>
      <c r="L23" s="17">
        <v>8</v>
      </c>
      <c r="M23" s="17">
        <v>8</v>
      </c>
      <c r="N23" s="17">
        <v>8</v>
      </c>
      <c r="O23" s="17">
        <v>8</v>
      </c>
      <c r="P23" s="17">
        <v>8</v>
      </c>
      <c r="Q23" s="17">
        <v>8</v>
      </c>
      <c r="R23" s="17">
        <v>8</v>
      </c>
      <c r="S23" s="17">
        <v>8</v>
      </c>
      <c r="T23" s="17">
        <v>8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</row>
    <row r="24" spans="1:30">
      <c r="A24" s="34"/>
      <c r="B24" s="20"/>
      <c r="C24" s="17"/>
      <c r="D24" s="18"/>
    </row>
    <row r="25" spans="1:30">
      <c r="A25" s="34"/>
      <c r="B25" s="20"/>
      <c r="C25" s="17"/>
      <c r="D25" s="18"/>
      <c r="I25" s="22"/>
      <c r="AC25" s="17" t="str">
        <f t="shared" ref="AC25:AD27" si="4">IF(OR(AC$14="",$E25=""),"",AB25)</f>
        <v/>
      </c>
      <c r="AD25" s="17" t="str">
        <f t="shared" si="4"/>
        <v/>
      </c>
    </row>
    <row r="26" spans="1:30">
      <c r="A26" s="34"/>
      <c r="B26" s="20"/>
      <c r="C26" s="17"/>
      <c r="D26" s="18"/>
      <c r="I26" s="22"/>
      <c r="AC26" s="17" t="str">
        <f t="shared" si="4"/>
        <v/>
      </c>
      <c r="AD26" s="17" t="str">
        <f t="shared" si="4"/>
        <v/>
      </c>
    </row>
    <row r="27" spans="1:30">
      <c r="A27" s="34"/>
      <c r="B27" s="20"/>
      <c r="C27" s="17"/>
      <c r="D27" s="18"/>
      <c r="I27" s="22"/>
      <c r="AC27" s="17" t="str">
        <f t="shared" si="4"/>
        <v/>
      </c>
      <c r="AD27" s="17" t="str">
        <f t="shared" si="4"/>
        <v/>
      </c>
    </row>
    <row r="28" spans="1:30">
      <c r="A28" s="21"/>
      <c r="C28" s="17"/>
      <c r="D28" s="18"/>
      <c r="I28" s="22"/>
    </row>
    <row r="29" spans="1:30">
      <c r="A29" s="35"/>
    </row>
    <row r="30" spans="1:30">
      <c r="A30" s="35"/>
      <c r="C30" s="18"/>
    </row>
    <row r="31" spans="1:30">
      <c r="A31" s="35"/>
      <c r="C31" s="18"/>
    </row>
    <row r="32" spans="1:30">
      <c r="A32" s="35"/>
      <c r="C32" s="18"/>
    </row>
    <row r="33" spans="1:30">
      <c r="A33" s="35"/>
      <c r="C33" s="18"/>
    </row>
    <row r="34" spans="1:30">
      <c r="C34" s="18"/>
    </row>
    <row r="35" spans="1:30">
      <c r="C35" s="18"/>
      <c r="D35" s="16" t="str">
        <f t="shared" ref="D35:D41" si="5">IF(A35&lt;&gt;"","Planned","")</f>
        <v/>
      </c>
      <c r="F35" s="17" t="str">
        <f t="shared" ref="F35:F41" si="6">IF(OR(F$14="",$E35=""),"",E35)</f>
        <v/>
      </c>
      <c r="AC35" s="17" t="str">
        <f t="shared" ref="AC35:AD43" si="7">IF(OR(AC$14="",$E35=""),"",AB35)</f>
        <v/>
      </c>
      <c r="AD35" s="17" t="str">
        <f t="shared" si="7"/>
        <v/>
      </c>
    </row>
    <row r="36" spans="1:30">
      <c r="C36" s="18"/>
      <c r="D36" s="16" t="str">
        <f t="shared" si="5"/>
        <v/>
      </c>
      <c r="F36" s="17" t="str">
        <f t="shared" si="6"/>
        <v/>
      </c>
      <c r="AC36" s="17" t="str">
        <f t="shared" si="7"/>
        <v/>
      </c>
      <c r="AD36" s="17" t="str">
        <f t="shared" si="7"/>
        <v/>
      </c>
    </row>
    <row r="37" spans="1:30">
      <c r="C37" s="18"/>
      <c r="D37" s="16" t="str">
        <f t="shared" si="5"/>
        <v/>
      </c>
      <c r="F37" s="17" t="str">
        <f t="shared" si="6"/>
        <v/>
      </c>
      <c r="AC37" s="17" t="str">
        <f t="shared" si="7"/>
        <v/>
      </c>
      <c r="AD37" s="17" t="str">
        <f t="shared" si="7"/>
        <v/>
      </c>
    </row>
    <row r="38" spans="1:30">
      <c r="C38" s="18"/>
      <c r="D38" s="16" t="str">
        <f t="shared" si="5"/>
        <v/>
      </c>
      <c r="F38" s="17" t="str">
        <f t="shared" si="6"/>
        <v/>
      </c>
      <c r="AC38" s="17" t="str">
        <f t="shared" si="7"/>
        <v/>
      </c>
      <c r="AD38" s="17" t="str">
        <f t="shared" si="7"/>
        <v/>
      </c>
    </row>
    <row r="39" spans="1:30">
      <c r="C39" s="18"/>
      <c r="D39" s="16" t="str">
        <f t="shared" si="5"/>
        <v/>
      </c>
      <c r="F39" s="17" t="str">
        <f t="shared" si="6"/>
        <v/>
      </c>
      <c r="AC39" s="17" t="str">
        <f t="shared" si="7"/>
        <v/>
      </c>
      <c r="AD39" s="17" t="str">
        <f t="shared" si="7"/>
        <v/>
      </c>
    </row>
    <row r="40" spans="1:30">
      <c r="C40" s="18"/>
      <c r="D40" s="16" t="str">
        <f t="shared" si="5"/>
        <v/>
      </c>
      <c r="F40" s="17" t="str">
        <f t="shared" si="6"/>
        <v/>
      </c>
      <c r="G40" s="17" t="str">
        <f t="shared" ref="G40:AB40" si="8">IF(OR(G$14="",$E40=""),"",F40)</f>
        <v/>
      </c>
      <c r="H40" s="17" t="str">
        <f t="shared" si="8"/>
        <v/>
      </c>
      <c r="I40" s="17" t="str">
        <f t="shared" si="8"/>
        <v/>
      </c>
      <c r="J40" s="17" t="str">
        <f t="shared" si="8"/>
        <v/>
      </c>
      <c r="K40" s="17" t="str">
        <f t="shared" si="8"/>
        <v/>
      </c>
      <c r="L40" s="17" t="str">
        <f t="shared" si="8"/>
        <v/>
      </c>
      <c r="M40" s="17" t="str">
        <f t="shared" si="8"/>
        <v/>
      </c>
      <c r="N40" s="17" t="str">
        <f t="shared" si="8"/>
        <v/>
      </c>
      <c r="O40" s="17" t="str">
        <f t="shared" si="8"/>
        <v/>
      </c>
      <c r="P40" s="17" t="str">
        <f t="shared" si="8"/>
        <v/>
      </c>
      <c r="Q40" s="17" t="str">
        <f t="shared" si="8"/>
        <v/>
      </c>
      <c r="R40" s="17" t="str">
        <f t="shared" si="8"/>
        <v/>
      </c>
      <c r="S40" s="17" t="str">
        <f t="shared" si="8"/>
        <v/>
      </c>
      <c r="T40" s="17" t="str">
        <f t="shared" si="8"/>
        <v/>
      </c>
      <c r="U40" s="17" t="str">
        <f t="shared" si="8"/>
        <v/>
      </c>
      <c r="V40" s="17" t="str">
        <f t="shared" si="8"/>
        <v/>
      </c>
      <c r="W40" s="17" t="str">
        <f t="shared" si="8"/>
        <v/>
      </c>
      <c r="X40" s="17" t="str">
        <f t="shared" si="8"/>
        <v/>
      </c>
      <c r="Y40" s="17" t="str">
        <f t="shared" si="8"/>
        <v/>
      </c>
      <c r="Z40" s="17" t="str">
        <f t="shared" si="8"/>
        <v/>
      </c>
      <c r="AA40" s="17" t="str">
        <f t="shared" si="8"/>
        <v/>
      </c>
      <c r="AB40" s="17" t="str">
        <f t="shared" si="8"/>
        <v/>
      </c>
      <c r="AC40" s="17" t="str">
        <f t="shared" si="7"/>
        <v/>
      </c>
      <c r="AD40" s="17" t="str">
        <f t="shared" si="7"/>
        <v/>
      </c>
    </row>
    <row r="41" spans="1:30">
      <c r="C41" s="18"/>
      <c r="D41" s="16" t="str">
        <f t="shared" si="5"/>
        <v/>
      </c>
      <c r="F41" s="17" t="str">
        <f t="shared" si="6"/>
        <v/>
      </c>
      <c r="G41" s="17" t="str">
        <f t="shared" ref="G41:AB41" si="9">IF(OR(G$14="",$E41=""),"",F41)</f>
        <v/>
      </c>
      <c r="H41" s="17" t="str">
        <f t="shared" si="9"/>
        <v/>
      </c>
      <c r="I41" s="17" t="str">
        <f t="shared" si="9"/>
        <v/>
      </c>
      <c r="J41" s="17" t="str">
        <f t="shared" si="9"/>
        <v/>
      </c>
      <c r="K41" s="17" t="str">
        <f t="shared" si="9"/>
        <v/>
      </c>
      <c r="L41" s="17" t="str">
        <f t="shared" si="9"/>
        <v/>
      </c>
      <c r="M41" s="17" t="str">
        <f t="shared" si="9"/>
        <v/>
      </c>
      <c r="N41" s="17" t="str">
        <f t="shared" si="9"/>
        <v/>
      </c>
      <c r="O41" s="17" t="str">
        <f t="shared" si="9"/>
        <v/>
      </c>
      <c r="P41" s="17" t="str">
        <f t="shared" si="9"/>
        <v/>
      </c>
      <c r="Q41" s="17" t="str">
        <f t="shared" si="9"/>
        <v/>
      </c>
      <c r="R41" s="17" t="str">
        <f t="shared" si="9"/>
        <v/>
      </c>
      <c r="S41" s="17" t="str">
        <f t="shared" si="9"/>
        <v/>
      </c>
      <c r="T41" s="17" t="str">
        <f t="shared" si="9"/>
        <v/>
      </c>
      <c r="U41" s="17" t="str">
        <f t="shared" si="9"/>
        <v/>
      </c>
      <c r="V41" s="17" t="str">
        <f t="shared" si="9"/>
        <v/>
      </c>
      <c r="W41" s="17" t="str">
        <f t="shared" si="9"/>
        <v/>
      </c>
      <c r="X41" s="17" t="str">
        <f t="shared" si="9"/>
        <v/>
      </c>
      <c r="Y41" s="17" t="str">
        <f t="shared" si="9"/>
        <v/>
      </c>
      <c r="Z41" s="17" t="str">
        <f t="shared" si="9"/>
        <v/>
      </c>
      <c r="AA41" s="17" t="str">
        <f t="shared" si="9"/>
        <v/>
      </c>
      <c r="AB41" s="17" t="str">
        <f t="shared" si="9"/>
        <v/>
      </c>
      <c r="AC41" s="17" t="str">
        <f t="shared" si="7"/>
        <v/>
      </c>
      <c r="AD41" s="17" t="str">
        <f t="shared" si="7"/>
        <v/>
      </c>
    </row>
    <row r="42" spans="1:30">
      <c r="A42" s="19"/>
      <c r="C42" s="18"/>
      <c r="AC42" s="17" t="str">
        <f t="shared" si="7"/>
        <v/>
      </c>
      <c r="AD42" s="17" t="str">
        <f t="shared" si="7"/>
        <v/>
      </c>
    </row>
    <row r="43" spans="1:30">
      <c r="A43" s="19"/>
      <c r="C43" s="18"/>
      <c r="AC43" s="17" t="str">
        <f t="shared" si="7"/>
        <v/>
      </c>
      <c r="AD43" s="17" t="str">
        <f t="shared" si="7"/>
        <v/>
      </c>
    </row>
    <row r="44" spans="1:30">
      <c r="A44" s="19"/>
      <c r="C44" s="18"/>
    </row>
    <row r="45" spans="1:30">
      <c r="A45" s="19"/>
      <c r="C45" s="18"/>
      <c r="AC45" s="17" t="str">
        <f t="shared" ref="AC45:AD53" si="10">IF(OR(AC$14="",$E45=""),"",AB45)</f>
        <v/>
      </c>
      <c r="AD45" s="17" t="str">
        <f t="shared" si="10"/>
        <v/>
      </c>
    </row>
    <row r="46" spans="1:30">
      <c r="A46" s="19"/>
      <c r="C46" s="18"/>
      <c r="AC46" s="17" t="str">
        <f t="shared" si="10"/>
        <v/>
      </c>
      <c r="AD46" s="17" t="str">
        <f t="shared" si="10"/>
        <v/>
      </c>
    </row>
    <row r="47" spans="1:30">
      <c r="A47" s="19"/>
      <c r="C47" s="18"/>
      <c r="AC47" s="17" t="str">
        <f t="shared" si="10"/>
        <v/>
      </c>
      <c r="AD47" s="17" t="str">
        <f t="shared" si="10"/>
        <v/>
      </c>
    </row>
    <row r="48" spans="1:30">
      <c r="A48" s="19"/>
      <c r="C48" s="18"/>
      <c r="AC48" s="17" t="str">
        <f t="shared" si="10"/>
        <v/>
      </c>
      <c r="AD48" s="17" t="str">
        <f t="shared" si="10"/>
        <v/>
      </c>
    </row>
    <row r="49" spans="1:30">
      <c r="A49" s="19"/>
      <c r="C49" s="18"/>
      <c r="AC49" s="17" t="str">
        <f t="shared" si="10"/>
        <v/>
      </c>
      <c r="AD49" s="17" t="str">
        <f t="shared" si="10"/>
        <v/>
      </c>
    </row>
    <row r="50" spans="1:30">
      <c r="A50" s="19"/>
      <c r="C50" s="18"/>
      <c r="AC50" s="17" t="str">
        <f t="shared" si="10"/>
        <v/>
      </c>
      <c r="AD50" s="17" t="str">
        <f t="shared" si="10"/>
        <v/>
      </c>
    </row>
    <row r="51" spans="1:30">
      <c r="A51" s="19"/>
      <c r="C51" s="18"/>
      <c r="AC51" s="17" t="str">
        <f t="shared" si="10"/>
        <v/>
      </c>
      <c r="AD51" s="17" t="str">
        <f t="shared" si="10"/>
        <v/>
      </c>
    </row>
    <row r="52" spans="1:30">
      <c r="A52" s="19"/>
      <c r="C52" s="18"/>
      <c r="AC52" s="17" t="str">
        <f t="shared" si="10"/>
        <v/>
      </c>
      <c r="AD52" s="17" t="str">
        <f t="shared" si="10"/>
        <v/>
      </c>
    </row>
    <row r="53" spans="1:30">
      <c r="A53" s="19"/>
      <c r="C53" s="18"/>
      <c r="AC53" s="17" t="str">
        <f t="shared" si="10"/>
        <v/>
      </c>
      <c r="AD53" s="17" t="str">
        <f t="shared" si="10"/>
        <v/>
      </c>
    </row>
    <row r="54" spans="1:30">
      <c r="A54" s="19"/>
      <c r="C54" s="18"/>
    </row>
    <row r="55" spans="1:30">
      <c r="A55" s="19"/>
      <c r="C55" s="18"/>
      <c r="AC55" s="17" t="str">
        <f t="shared" ref="AC55:AD59" si="11">IF(OR(AC$14="",$E55=""),"",AB55)</f>
        <v/>
      </c>
      <c r="AD55" s="17" t="str">
        <f t="shared" si="11"/>
        <v/>
      </c>
    </row>
    <row r="56" spans="1:30">
      <c r="A56" s="19"/>
      <c r="C56" s="18"/>
      <c r="AC56" s="17" t="str">
        <f t="shared" si="11"/>
        <v/>
      </c>
      <c r="AD56" s="17" t="str">
        <f t="shared" si="11"/>
        <v/>
      </c>
    </row>
    <row r="57" spans="1:30">
      <c r="A57" s="19"/>
      <c r="C57" s="18"/>
      <c r="AC57" s="17" t="str">
        <f t="shared" si="11"/>
        <v/>
      </c>
      <c r="AD57" s="17" t="str">
        <f t="shared" si="11"/>
        <v/>
      </c>
    </row>
    <row r="58" spans="1:30">
      <c r="A58" s="19"/>
      <c r="C58" s="18"/>
      <c r="AC58" s="17" t="str">
        <f t="shared" si="11"/>
        <v/>
      </c>
      <c r="AD58" s="17" t="str">
        <f t="shared" si="11"/>
        <v/>
      </c>
    </row>
    <row r="59" spans="1:30">
      <c r="A59" s="19"/>
      <c r="C59" s="18"/>
      <c r="AC59" s="17" t="str">
        <f t="shared" si="11"/>
        <v/>
      </c>
      <c r="AD59" s="17" t="str">
        <f t="shared" si="11"/>
        <v/>
      </c>
    </row>
    <row r="60" spans="1:30">
      <c r="C60" s="18"/>
      <c r="D60" s="16" t="str">
        <f>IF(A60&lt;&gt;"","Planned","")</f>
        <v/>
      </c>
    </row>
    <row r="61" spans="1:30">
      <c r="C61" s="18"/>
    </row>
    <row r="62" spans="1:30">
      <c r="C62" s="18"/>
    </row>
    <row r="63" spans="1:30">
      <c r="C63" s="18"/>
    </row>
    <row r="64" spans="1:30">
      <c r="C64" s="18"/>
    </row>
    <row r="65" spans="3:3">
      <c r="C65" s="18"/>
    </row>
    <row r="66" spans="3:3">
      <c r="C66" s="18"/>
    </row>
    <row r="67" spans="3:3">
      <c r="C67" s="18"/>
    </row>
    <row r="68" spans="3:3">
      <c r="C68" s="18"/>
    </row>
    <row r="69" spans="3:3">
      <c r="C69" s="18"/>
    </row>
    <row r="70" spans="3:3">
      <c r="C70" s="18"/>
    </row>
    <row r="71" spans="3:3">
      <c r="C71" s="18"/>
    </row>
    <row r="72" spans="3:3">
      <c r="C72" s="18"/>
    </row>
    <row r="73" spans="3:3">
      <c r="C73" s="18"/>
    </row>
    <row r="74" spans="3:3">
      <c r="C74" s="18"/>
    </row>
    <row r="75" spans="3:3">
      <c r="C75" s="18"/>
    </row>
    <row r="76" spans="3:3">
      <c r="C76" s="18"/>
    </row>
    <row r="77" spans="3:3">
      <c r="C77" s="18"/>
    </row>
    <row r="78" spans="3:3">
      <c r="C78" s="18"/>
    </row>
    <row r="79" spans="3:3">
      <c r="C79" s="18"/>
    </row>
    <row r="80" spans="3:3">
      <c r="C80" s="18"/>
    </row>
    <row r="81" spans="3:3">
      <c r="C81" s="18"/>
    </row>
    <row r="82" spans="3:3">
      <c r="C82" s="18"/>
    </row>
    <row r="83" spans="3:3">
      <c r="C83" s="18"/>
    </row>
  </sheetData>
  <conditionalFormatting sqref="A30:AD54 A23:AD28">
    <cfRule type="expression" dxfId="17" priority="3" stopIfTrue="1">
      <formula>$D23="Done"</formula>
    </cfRule>
    <cfRule type="expression" dxfId="16" priority="4" stopIfTrue="1">
      <formula>$D23="Ongoing"</formula>
    </cfRule>
  </conditionalFormatting>
  <conditionalFormatting sqref="A18:A22">
    <cfRule type="expression" dxfId="15" priority="1" stopIfTrue="1">
      <formula>$D18="Done"</formula>
    </cfRule>
    <cfRule type="expression" dxfId="14" priority="2" stopIfTrue="1">
      <formula>$D18="Ongoing"</formula>
    </cfRule>
  </conditionalFormatting>
  <dataValidations count="1">
    <dataValidation type="list" allowBlank="1" showInputMessage="1" sqref="D3:D8 D30:D60 D23:D28" xr:uid="{00000000-0002-0000-02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 xr3:uid="{51F8DEE0-4D01-5F28-A812-FC0BD7CAC4A5}"/>
  </sheetViews>
  <sheetFormatPr defaultRowHeight="12.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58"/>
  <sheetViews>
    <sheetView tabSelected="1" workbookViewId="0" xr3:uid="{958C4451-9541-5A59-BF78-D2F731DF1C81}">
      <selection activeCell="E10" sqref="E10:V10"/>
    </sheetView>
  </sheetViews>
  <sheetFormatPr defaultColWidth="9.140625" defaultRowHeight="12.6"/>
  <cols>
    <col min="1" max="1" width="65" style="3" customWidth="1"/>
    <col min="2" max="2" width="8.5703125" style="2" customWidth="1"/>
    <col min="3" max="3" width="13.7109375" style="3" customWidth="1"/>
    <col min="4" max="4" width="10.85546875" style="3" customWidth="1"/>
    <col min="5" max="5" width="6.5703125" style="2" customWidth="1"/>
    <col min="6" max="30" width="4.42578125" style="2" customWidth="1"/>
    <col min="31" max="16384" width="9.140625" style="3"/>
  </cols>
  <sheetData>
    <row r="1" spans="1:30" ht="17.45">
      <c r="A1" s="5" t="s">
        <v>0</v>
      </c>
      <c r="B1" s="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2.95">
      <c r="A2" s="15" t="s">
        <v>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2.95">
      <c r="A9" s="7" t="s">
        <v>2</v>
      </c>
      <c r="B9" s="8">
        <v>20</v>
      </c>
      <c r="C9" s="7"/>
      <c r="D9" s="9"/>
      <c r="E9" s="7" t="s">
        <v>3</v>
      </c>
      <c r="F9" s="7" t="s">
        <v>4</v>
      </c>
      <c r="G9" s="7"/>
      <c r="H9" s="7"/>
      <c r="I9" s="7"/>
      <c r="J9" s="7"/>
      <c r="K9" s="7"/>
      <c r="L9" s="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ht="12.95">
      <c r="A10" s="7" t="s">
        <v>5</v>
      </c>
      <c r="B10" s="8">
        <v>20</v>
      </c>
      <c r="C10" s="7" t="s">
        <v>6</v>
      </c>
      <c r="D10" s="7" t="s">
        <v>7</v>
      </c>
      <c r="E10" s="10">
        <f>SUM(E17:E21)</f>
        <v>10</v>
      </c>
      <c r="F10" s="10">
        <f>SUM(F17:F21)</f>
        <v>3</v>
      </c>
      <c r="G10" s="10">
        <f>SUM(G17:G21)</f>
        <v>3</v>
      </c>
      <c r="H10" s="10">
        <f>SUM(H17:H21)</f>
        <v>1</v>
      </c>
      <c r="I10" s="10">
        <f>SUM(I17:I21)</f>
        <v>1</v>
      </c>
      <c r="J10" s="10">
        <f>SUM(J17:J21)</f>
        <v>0</v>
      </c>
      <c r="K10" s="10">
        <f>SUM(K17:K21)</f>
        <v>2</v>
      </c>
      <c r="L10" s="10">
        <f>SUM(L17:L21)</f>
        <v>0</v>
      </c>
      <c r="M10" s="10">
        <f>SUM(M17:M21)</f>
        <v>0</v>
      </c>
      <c r="N10" s="10">
        <f>SUM(N17:N21)</f>
        <v>0</v>
      </c>
      <c r="O10" s="10">
        <f>SUM(O17:O21)</f>
        <v>0</v>
      </c>
      <c r="P10" s="10">
        <f>SUM(P17:P21)</f>
        <v>0</v>
      </c>
      <c r="Q10" s="10">
        <f>SUM(Q17:Q21)</f>
        <v>0</v>
      </c>
      <c r="R10" s="10">
        <f>SUM(R17:R21)</f>
        <v>0</v>
      </c>
      <c r="S10" s="10">
        <f>SUM(S17:S21)</f>
        <v>0</v>
      </c>
      <c r="T10" s="10">
        <f>SUM(T17:T21)</f>
        <v>0</v>
      </c>
      <c r="U10" s="10">
        <f>SUM(U17:U21)</f>
        <v>0</v>
      </c>
      <c r="V10" s="10">
        <f>SUM(V17:V21)</f>
        <v>0</v>
      </c>
      <c r="W10" s="10">
        <f>SUM(W17:W21)</f>
        <v>0</v>
      </c>
      <c r="X10" s="10">
        <f>SUM(X17:X21)</f>
        <v>0</v>
      </c>
      <c r="Y10" s="10">
        <f>SUM(Y17:Y21)</f>
        <v>0</v>
      </c>
      <c r="Z10" s="10"/>
      <c r="AA10" s="10"/>
      <c r="AB10" s="10"/>
      <c r="AC10" s="10"/>
      <c r="AD10" s="10"/>
    </row>
    <row r="11" spans="1:30" customFormat="1" hidden="1">
      <c r="A11" t="s">
        <v>8</v>
      </c>
      <c r="B11" s="1">
        <f>IF(COUNTA(A15:A71)=0,1,COUNTA(A15:A71))</f>
        <v>33</v>
      </c>
      <c r="C11" t="s">
        <v>9</v>
      </c>
      <c r="D11" s="1">
        <f>IF(COUNTIF(F10:AD10,"&gt;0")=0,1,COUNTIF(F10:AD10,"&gt;0"))</f>
        <v>5</v>
      </c>
      <c r="E11" s="1"/>
      <c r="F11" s="1">
        <f>IF(F14="","",$E10-$E10/($B9-1)*(F14-1))</f>
        <v>10</v>
      </c>
      <c r="G11" s="1" t="e">
        <f t="shared" ref="G11:AD11" si="0">IF(G14="","",TotalEffort-TotalEffort/(ImplementationDays)*(G14-1))</f>
        <v>#REF!</v>
      </c>
      <c r="H11" s="1" t="e">
        <f t="shared" si="0"/>
        <v>#REF!</v>
      </c>
      <c r="I11" s="1" t="e">
        <f t="shared" si="0"/>
        <v>#REF!</v>
      </c>
      <c r="J11" s="1" t="e">
        <f t="shared" si="0"/>
        <v>#REF!</v>
      </c>
      <c r="K11" s="1" t="e">
        <f t="shared" si="0"/>
        <v>#REF!</v>
      </c>
      <c r="L11" s="1" t="e">
        <f t="shared" si="0"/>
        <v>#REF!</v>
      </c>
      <c r="M11" s="1" t="e">
        <f t="shared" si="0"/>
        <v>#REF!</v>
      </c>
      <c r="N11" s="1" t="e">
        <f t="shared" si="0"/>
        <v>#REF!</v>
      </c>
      <c r="O11" s="1" t="e">
        <f t="shared" si="0"/>
        <v>#REF!</v>
      </c>
      <c r="P11" s="1" t="e">
        <f t="shared" si="0"/>
        <v>#REF!</v>
      </c>
      <c r="Q11" s="1" t="e">
        <f t="shared" si="0"/>
        <v>#REF!</v>
      </c>
      <c r="R11" s="1" t="e">
        <f t="shared" si="0"/>
        <v>#REF!</v>
      </c>
      <c r="S11" s="1" t="e">
        <f t="shared" si="0"/>
        <v>#REF!</v>
      </c>
      <c r="T11" s="1" t="e">
        <f t="shared" si="0"/>
        <v>#REF!</v>
      </c>
      <c r="U11" s="1" t="e">
        <f t="shared" si="0"/>
        <v>#REF!</v>
      </c>
      <c r="V11" s="1" t="e">
        <f t="shared" si="0"/>
        <v>#REF!</v>
      </c>
      <c r="W11" s="1" t="e">
        <f t="shared" si="0"/>
        <v>#REF!</v>
      </c>
      <c r="X11" s="1" t="e">
        <f t="shared" si="0"/>
        <v>#REF!</v>
      </c>
      <c r="Y11" s="1" t="e">
        <f t="shared" si="0"/>
        <v>#REF!</v>
      </c>
      <c r="Z11" s="1" t="str">
        <f t="shared" si="0"/>
        <v/>
      </c>
      <c r="AA11" s="1" t="str">
        <f t="shared" si="0"/>
        <v/>
      </c>
      <c r="AB11" s="1" t="str">
        <f t="shared" si="0"/>
        <v/>
      </c>
      <c r="AC11" s="1" t="str">
        <f t="shared" si="0"/>
        <v/>
      </c>
      <c r="AD11" s="1" t="str">
        <f t="shared" si="0"/>
        <v/>
      </c>
    </row>
    <row r="12" spans="1:30" customFormat="1" ht="12.95" hidden="1">
      <c r="A12" s="4" t="s">
        <v>10</v>
      </c>
      <c r="C12" t="s">
        <v>11</v>
      </c>
      <c r="D12" s="1"/>
      <c r="E12" s="1"/>
      <c r="F12" s="1" t="e">
        <f t="shared" ref="F12:AD12" ca="1" si="1">IF(TREND(OFFSET($F10,0,DoneDays-TrendDays,1,TrendDays),OFFSET($F13,0,DoneDays-TrendDays,1,TrendDays),F13)&lt;0,"",TREND(OFFSET($F10,0,DoneDays-TrendDays,1,TrendDays),OFFSET($F13,0,DoneDays-TrendDays,1,TrendDays),F13))</f>
        <v>#REF!</v>
      </c>
      <c r="G12" s="1" t="e">
        <f t="shared" ca="1" si="1"/>
        <v>#REF!</v>
      </c>
      <c r="H12" s="1" t="e">
        <f t="shared" ca="1" si="1"/>
        <v>#REF!</v>
      </c>
      <c r="I12" s="1" t="e">
        <f t="shared" ca="1" si="1"/>
        <v>#REF!</v>
      </c>
      <c r="J12" s="1" t="e">
        <f t="shared" ca="1" si="1"/>
        <v>#REF!</v>
      </c>
      <c r="K12" s="1" t="e">
        <f t="shared" ca="1" si="1"/>
        <v>#REF!</v>
      </c>
      <c r="L12" s="1" t="e">
        <f t="shared" ca="1" si="1"/>
        <v>#REF!</v>
      </c>
      <c r="M12" s="1" t="e">
        <f t="shared" ca="1" si="1"/>
        <v>#REF!</v>
      </c>
      <c r="N12" s="1" t="e">
        <f t="shared" ca="1" si="1"/>
        <v>#REF!</v>
      </c>
      <c r="O12" s="1" t="e">
        <f t="shared" ca="1" si="1"/>
        <v>#REF!</v>
      </c>
      <c r="P12" s="1" t="e">
        <f t="shared" ca="1" si="1"/>
        <v>#REF!</v>
      </c>
      <c r="Q12" s="1" t="e">
        <f t="shared" ca="1" si="1"/>
        <v>#REF!</v>
      </c>
      <c r="R12" s="1" t="e">
        <f t="shared" ca="1" si="1"/>
        <v>#REF!</v>
      </c>
      <c r="S12" s="1" t="e">
        <f t="shared" ca="1" si="1"/>
        <v>#REF!</v>
      </c>
      <c r="T12" s="1" t="e">
        <f t="shared" ca="1" si="1"/>
        <v>#REF!</v>
      </c>
      <c r="U12" s="1" t="e">
        <f t="shared" ca="1" si="1"/>
        <v>#REF!</v>
      </c>
      <c r="V12" s="1" t="e">
        <f t="shared" ca="1" si="1"/>
        <v>#REF!</v>
      </c>
      <c r="W12" s="1" t="e">
        <f t="shared" ca="1" si="1"/>
        <v>#REF!</v>
      </c>
      <c r="X12" s="1" t="e">
        <f t="shared" ca="1" si="1"/>
        <v>#REF!</v>
      </c>
      <c r="Y12" s="1" t="e">
        <f t="shared" ca="1" si="1"/>
        <v>#REF!</v>
      </c>
      <c r="Z12" s="1" t="e">
        <f t="shared" ca="1" si="1"/>
        <v>#REF!</v>
      </c>
      <c r="AA12" s="1" t="e">
        <f t="shared" ca="1" si="1"/>
        <v>#REF!</v>
      </c>
      <c r="AB12" s="1" t="e">
        <f t="shared" ca="1" si="1"/>
        <v>#REF!</v>
      </c>
      <c r="AC12" s="1" t="e">
        <f t="shared" ca="1" si="1"/>
        <v>#REF!</v>
      </c>
      <c r="AD12" s="1" t="e">
        <f t="shared" ca="1" si="1"/>
        <v>#REF!</v>
      </c>
    </row>
    <row r="13" spans="1:30" customFormat="1" ht="12.95" hidden="1">
      <c r="A13" s="4" t="s">
        <v>12</v>
      </c>
      <c r="C13" t="s">
        <v>13</v>
      </c>
      <c r="D13" s="1" t="e">
        <f>IF(DoneDays&gt;B10,B10,DoneDays)</f>
        <v>#REF!</v>
      </c>
      <c r="E13" s="1"/>
      <c r="F13" s="1" t="e">
        <f>IF(DoneDays&gt;E13,E13+1,"")</f>
        <v>#REF!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</row>
    <row r="14" spans="1:30" ht="12.95">
      <c r="A14" s="7" t="s">
        <v>14</v>
      </c>
      <c r="B14" s="11" t="s">
        <v>15</v>
      </c>
      <c r="C14" s="7" t="s">
        <v>16</v>
      </c>
      <c r="D14" s="7" t="s">
        <v>17</v>
      </c>
      <c r="E14" s="11" t="s">
        <v>18</v>
      </c>
      <c r="F14" s="11">
        <v>1</v>
      </c>
      <c r="G14" s="11">
        <f t="shared" ref="G14:AD14" si="2">IF($B$9&gt;F14,F14+1,"")</f>
        <v>2</v>
      </c>
      <c r="H14" s="11">
        <f t="shared" si="2"/>
        <v>3</v>
      </c>
      <c r="I14" s="11">
        <f t="shared" si="2"/>
        <v>4</v>
      </c>
      <c r="J14" s="11">
        <f t="shared" si="2"/>
        <v>5</v>
      </c>
      <c r="K14" s="11">
        <f t="shared" si="2"/>
        <v>6</v>
      </c>
      <c r="L14" s="11">
        <f t="shared" si="2"/>
        <v>7</v>
      </c>
      <c r="M14" s="11">
        <f t="shared" si="2"/>
        <v>8</v>
      </c>
      <c r="N14" s="11">
        <f t="shared" si="2"/>
        <v>9</v>
      </c>
      <c r="O14" s="11">
        <f t="shared" si="2"/>
        <v>10</v>
      </c>
      <c r="P14" s="11">
        <f t="shared" si="2"/>
        <v>11</v>
      </c>
      <c r="Q14" s="11">
        <f t="shared" si="2"/>
        <v>12</v>
      </c>
      <c r="R14" s="11">
        <f t="shared" si="2"/>
        <v>13</v>
      </c>
      <c r="S14" s="11">
        <f t="shared" si="2"/>
        <v>14</v>
      </c>
      <c r="T14" s="11">
        <f t="shared" si="2"/>
        <v>15</v>
      </c>
      <c r="U14" s="11">
        <f t="shared" si="2"/>
        <v>16</v>
      </c>
      <c r="V14" s="11">
        <f t="shared" si="2"/>
        <v>17</v>
      </c>
      <c r="W14" s="11">
        <f t="shared" si="2"/>
        <v>18</v>
      </c>
      <c r="X14" s="11">
        <f t="shared" si="2"/>
        <v>19</v>
      </c>
      <c r="Y14" s="11">
        <f t="shared" si="2"/>
        <v>20</v>
      </c>
      <c r="Z14" s="11" t="str">
        <f t="shared" si="2"/>
        <v/>
      </c>
      <c r="AA14" s="11" t="str">
        <f t="shared" si="2"/>
        <v/>
      </c>
      <c r="AB14" s="11" t="str">
        <f t="shared" si="2"/>
        <v/>
      </c>
      <c r="AC14" s="11" t="str">
        <f t="shared" si="2"/>
        <v/>
      </c>
      <c r="AD14" s="11" t="str">
        <f t="shared" si="2"/>
        <v/>
      </c>
    </row>
    <row r="15" spans="1:30">
      <c r="A15" s="13"/>
      <c r="B15" s="1"/>
      <c r="C15" s="33"/>
    </row>
    <row r="16" spans="1:30">
      <c r="A16" s="13"/>
      <c r="B16" s="1"/>
      <c r="C16" s="33"/>
    </row>
    <row r="17" spans="1:15" ht="15" customHeight="1">
      <c r="A17" s="14" t="s">
        <v>63</v>
      </c>
      <c r="B17" s="1"/>
      <c r="C17" s="13"/>
      <c r="E17" s="2">
        <v>4</v>
      </c>
      <c r="F17" s="2">
        <v>2</v>
      </c>
      <c r="G17" s="2">
        <v>2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15" ht="15" customHeight="1">
      <c r="A18" s="14" t="s">
        <v>64</v>
      </c>
      <c r="B18" s="1"/>
      <c r="C18" s="13"/>
      <c r="E18" s="2">
        <v>1</v>
      </c>
      <c r="F18" s="2">
        <v>1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</row>
    <row r="19" spans="1:15" ht="15" customHeight="1">
      <c r="A19" s="12" t="s">
        <v>65</v>
      </c>
      <c r="B19" s="1"/>
      <c r="C19" s="13"/>
      <c r="E19" s="2">
        <v>3</v>
      </c>
      <c r="F19" s="2">
        <v>0</v>
      </c>
      <c r="G19" s="2">
        <v>1</v>
      </c>
      <c r="H19" s="2">
        <v>1</v>
      </c>
      <c r="I19" s="2">
        <v>1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</row>
    <row r="20" spans="1:15">
      <c r="A20" s="14" t="s">
        <v>66</v>
      </c>
      <c r="B20" s="1"/>
      <c r="E20" s="2">
        <v>1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</v>
      </c>
      <c r="L20" s="2">
        <v>0</v>
      </c>
      <c r="M20" s="2">
        <v>0</v>
      </c>
      <c r="N20" s="2">
        <v>0</v>
      </c>
      <c r="O20" s="2">
        <v>0</v>
      </c>
    </row>
    <row r="21" spans="1:15">
      <c r="A21" s="14" t="s">
        <v>67</v>
      </c>
      <c r="B21" s="1"/>
      <c r="E21" s="2">
        <v>1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</v>
      </c>
      <c r="L21" s="2">
        <v>0</v>
      </c>
      <c r="M21" s="2">
        <v>0</v>
      </c>
      <c r="N21" s="2">
        <v>0</v>
      </c>
      <c r="O21" s="2">
        <v>0</v>
      </c>
    </row>
    <row r="22" spans="1:15">
      <c r="A22" s="12"/>
      <c r="B22" s="1"/>
    </row>
    <row r="23" spans="1:15">
      <c r="A23" s="14" t="s">
        <v>68</v>
      </c>
      <c r="B23" s="1"/>
      <c r="C23" s="13"/>
    </row>
    <row r="24" spans="1:15">
      <c r="A24" s="12" t="s">
        <v>69</v>
      </c>
      <c r="B24" s="1"/>
      <c r="C24" s="13"/>
    </row>
    <row r="25" spans="1:15">
      <c r="A25" s="14" t="s">
        <v>70</v>
      </c>
      <c r="B25" s="1"/>
      <c r="C25" s="13"/>
    </row>
    <row r="26" spans="1:15">
      <c r="A26" s="14" t="s">
        <v>71</v>
      </c>
      <c r="B26" s="1"/>
    </row>
    <row r="27" spans="1:15">
      <c r="B27" s="1"/>
    </row>
    <row r="28" spans="1:15">
      <c r="A28" s="13" t="s">
        <v>72</v>
      </c>
      <c r="B28" s="1"/>
    </row>
    <row r="29" spans="1:15">
      <c r="A29" s="12" t="s">
        <v>73</v>
      </c>
      <c r="B29" s="1"/>
    </row>
    <row r="30" spans="1:15">
      <c r="A30" s="12" t="s">
        <v>74</v>
      </c>
      <c r="B30" s="1"/>
    </row>
    <row r="31" spans="1:15">
      <c r="A31" s="14" t="s">
        <v>75</v>
      </c>
      <c r="B31" s="1"/>
    </row>
    <row r="32" spans="1:15">
      <c r="A32" s="14" t="s">
        <v>76</v>
      </c>
      <c r="B32" s="1"/>
    </row>
    <row r="33" spans="1:10">
      <c r="A33" s="14" t="s">
        <v>77</v>
      </c>
      <c r="B33" s="1"/>
      <c r="C33" s="13"/>
    </row>
    <row r="34" spans="1:10">
      <c r="B34" s="1"/>
    </row>
    <row r="35" spans="1:10">
      <c r="A35" s="3" t="s">
        <v>78</v>
      </c>
      <c r="B35" s="1"/>
    </row>
    <row r="36" spans="1:10">
      <c r="A36" s="13" t="s">
        <v>79</v>
      </c>
      <c r="B36" s="1"/>
    </row>
    <row r="37" spans="1:10">
      <c r="A37" s="12" t="s">
        <v>80</v>
      </c>
      <c r="B37" s="1"/>
    </row>
    <row r="38" spans="1:10">
      <c r="A38" s="14" t="s">
        <v>81</v>
      </c>
      <c r="B38" s="1"/>
    </row>
    <row r="39" spans="1:10">
      <c r="A39" s="14" t="s">
        <v>82</v>
      </c>
      <c r="B39" s="1"/>
    </row>
    <row r="40" spans="1:10">
      <c r="A40" s="14" t="s">
        <v>83</v>
      </c>
      <c r="B40" s="1"/>
    </row>
    <row r="41" spans="1:10">
      <c r="B41" s="1"/>
    </row>
    <row r="42" spans="1:10">
      <c r="A42" s="3" t="s">
        <v>84</v>
      </c>
      <c r="B42" s="1"/>
    </row>
    <row r="43" spans="1:10">
      <c r="A43" s="13" t="s">
        <v>85</v>
      </c>
      <c r="B43" s="1"/>
    </row>
    <row r="44" spans="1:10">
      <c r="A44" s="12" t="s">
        <v>86</v>
      </c>
      <c r="B44" s="1"/>
    </row>
    <row r="45" spans="1:10">
      <c r="A45" s="14" t="s">
        <v>87</v>
      </c>
      <c r="B45" s="1"/>
      <c r="C45" s="33"/>
      <c r="F45" s="1"/>
      <c r="G45" s="1"/>
      <c r="H45" s="1"/>
      <c r="I45" s="1"/>
      <c r="J45" s="1"/>
    </row>
    <row r="46" spans="1:10">
      <c r="A46" s="14" t="s">
        <v>88</v>
      </c>
      <c r="B46" s="1"/>
      <c r="C46" s="33"/>
      <c r="F46" s="1"/>
      <c r="G46" s="1"/>
      <c r="H46" s="1"/>
      <c r="I46" s="1"/>
      <c r="J46" s="1"/>
    </row>
    <row r="47" spans="1:10">
      <c r="A47" s="14" t="s">
        <v>89</v>
      </c>
      <c r="B47" s="1"/>
      <c r="C47" s="33"/>
    </row>
    <row r="48" spans="1:10">
      <c r="A48" s="14"/>
      <c r="B48" s="1"/>
      <c r="C48" s="33"/>
      <c r="F48" s="1"/>
      <c r="G48" s="1"/>
      <c r="H48" s="1"/>
      <c r="I48" s="1"/>
    </row>
    <row r="49" spans="1:10">
      <c r="A49" s="3" t="s">
        <v>90</v>
      </c>
      <c r="B49" s="1"/>
      <c r="C49" s="33"/>
      <c r="F49" s="1"/>
      <c r="G49" s="1"/>
      <c r="H49" s="1"/>
      <c r="I49" s="1"/>
    </row>
    <row r="50" spans="1:10">
      <c r="A50" s="13" t="s">
        <v>91</v>
      </c>
      <c r="B50" s="1"/>
      <c r="C50" s="33"/>
    </row>
    <row r="51" spans="1:10">
      <c r="A51" s="12" t="s">
        <v>92</v>
      </c>
      <c r="B51" s="1"/>
      <c r="C51" s="33"/>
    </row>
    <row r="52" spans="1:10">
      <c r="A52" s="14" t="s">
        <v>93</v>
      </c>
      <c r="B52" s="1"/>
      <c r="C52" s="33"/>
      <c r="F52" s="1"/>
      <c r="G52" s="1"/>
      <c r="H52" s="1"/>
      <c r="I52" s="1"/>
      <c r="J52" s="1"/>
    </row>
    <row r="53" spans="1:10">
      <c r="A53" s="14" t="s">
        <v>94</v>
      </c>
      <c r="B53" s="1"/>
      <c r="C53" s="33"/>
      <c r="F53" s="1"/>
      <c r="G53" s="1"/>
      <c r="H53" s="1"/>
      <c r="I53" s="1"/>
      <c r="J53" s="1"/>
    </row>
    <row r="54" spans="1:10">
      <c r="A54" s="14" t="s">
        <v>95</v>
      </c>
      <c r="B54" s="1"/>
      <c r="C54" s="33"/>
    </row>
    <row r="55" spans="1:10">
      <c r="A55" s="14"/>
      <c r="B55" s="1"/>
      <c r="C55" s="33"/>
      <c r="F55" s="1"/>
      <c r="G55" s="1"/>
      <c r="H55" s="1"/>
      <c r="I55" s="1"/>
    </row>
    <row r="56" spans="1:10">
      <c r="A56" s="14"/>
      <c r="B56" s="1"/>
      <c r="C56" s="33"/>
      <c r="F56" s="1"/>
      <c r="G56" s="1"/>
      <c r="H56" s="1"/>
      <c r="I56" s="1"/>
    </row>
    <row r="57" spans="1:10">
      <c r="A57" s="13"/>
      <c r="B57" s="1"/>
      <c r="C57" s="33"/>
    </row>
    <row r="58" spans="1:10">
      <c r="A58" s="13"/>
      <c r="B58" s="1"/>
      <c r="C58" s="33"/>
    </row>
  </sheetData>
  <conditionalFormatting sqref="D37:E38 C51:AD51 D44:E44 D39:D40 F17:AD40 D17:D36 E39:E43 A48:D48 F44:AD50 F52:AD58 A55:D58 A17:B40 C45:D47 C52:D54 B49:D49 C50:D50 B50:B54 A15:AD16">
    <cfRule type="expression" dxfId="13" priority="27" stopIfTrue="1">
      <formula>$D15="Done"</formula>
    </cfRule>
    <cfRule type="expression" dxfId="12" priority="28" stopIfTrue="1">
      <formula>$D15="Ongoing"</formula>
    </cfRule>
  </conditionalFormatting>
  <conditionalFormatting sqref="B41 F41:AD41 D41">
    <cfRule type="expression" dxfId="11" priority="25" stopIfTrue="1">
      <formula>$D41="Done"</formula>
    </cfRule>
    <cfRule type="expression" dxfId="10" priority="26" stopIfTrue="1">
      <formula>$D41="Ongoing"</formula>
    </cfRule>
  </conditionalFormatting>
  <conditionalFormatting sqref="A41">
    <cfRule type="expression" dxfId="9" priority="23" stopIfTrue="1">
      <formula>$D41="Done"</formula>
    </cfRule>
    <cfRule type="expression" dxfId="8" priority="24" stopIfTrue="1">
      <formula>$D41="Ongoing"</formula>
    </cfRule>
  </conditionalFormatting>
  <conditionalFormatting sqref="F42:AD42 D42 B42:B47">
    <cfRule type="expression" dxfId="7" priority="21" stopIfTrue="1">
      <formula>$D42="Done"</formula>
    </cfRule>
    <cfRule type="expression" dxfId="6" priority="22" stopIfTrue="1">
      <formula>$D42="Ongoing"</formula>
    </cfRule>
  </conditionalFormatting>
  <conditionalFormatting sqref="D43 F43:AD43">
    <cfRule type="expression" dxfId="5" priority="19" stopIfTrue="1">
      <formula>$D43="Done"</formula>
    </cfRule>
    <cfRule type="expression" dxfId="4" priority="20" stopIfTrue="1">
      <formula>$D43="Ongoing"</formula>
    </cfRule>
  </conditionalFormatting>
  <conditionalFormatting sqref="A42:A47">
    <cfRule type="expression" dxfId="3" priority="17" stopIfTrue="1">
      <formula>$D42="Done"</formula>
    </cfRule>
    <cfRule type="expression" dxfId="2" priority="18" stopIfTrue="1">
      <formula>$D42="Ongoing"</formula>
    </cfRule>
  </conditionalFormatting>
  <conditionalFormatting sqref="A49:A54">
    <cfRule type="expression" dxfId="1" priority="15" stopIfTrue="1">
      <formula>$D49="Done"</formula>
    </cfRule>
    <cfRule type="expression" dxfId="0" priority="16" stopIfTrue="1">
      <formula>$D49="Ongoing"</formula>
    </cfRule>
  </conditionalFormatting>
  <dataValidations count="1">
    <dataValidation type="list" allowBlank="1" showInputMessage="1" sqref="D3:D8 D15:D58" xr:uid="{00000000-0002-0000-0100-000000000000}">
      <formula1>"Planned,Ongoing,Done"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636740B8BA5F4EA30BF758A6713405" ma:contentTypeVersion="0" ma:contentTypeDescription="Create a new document." ma:contentTypeScope="" ma:versionID="588726e9f84ded6d2f259c42bc5b8c4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4CABA3-E44F-4B6D-9E26-8622F6BCD176}"/>
</file>

<file path=customXml/itemProps2.xml><?xml version="1.0" encoding="utf-8"?>
<ds:datastoreItem xmlns:ds="http://schemas.openxmlformats.org/officeDocument/2006/customXml" ds:itemID="{AE27E00C-1926-4691-8E6B-DADD1EC5C0AE}"/>
</file>

<file path=customXml/itemProps3.xml><?xml version="1.0" encoding="utf-8"?>
<ds:datastoreItem xmlns:ds="http://schemas.openxmlformats.org/officeDocument/2006/customXml" ds:itemID="{E5341C37-43A5-4D37-8B12-054C0E135A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SysOpen Digia Plc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Sandra Power</cp:lastModifiedBy>
  <cp:revision>1</cp:revision>
  <dcterms:created xsi:type="dcterms:W3CDTF">1998-06-05T11:20:44Z</dcterms:created>
  <dcterms:modified xsi:type="dcterms:W3CDTF">2017-03-01T16:27:53Z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0x01010085636740B8BA5F4EA30BF758A6713405</vt:lpwstr>
  </property>
</Properties>
</file>